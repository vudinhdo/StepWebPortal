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df4a66b8f3418e7/Imports/itmanagevn@gmail.com - Google Drive/"/>
    </mc:Choice>
  </mc:AlternateContent>
  <xr:revisionPtr revIDLastSave="9" documentId="8_{862CC98F-A304-436A-AD77-D9175C3972F6}" xr6:coauthVersionLast="47" xr6:coauthVersionMax="47" xr10:uidLastSave="{44F8A995-D009-413F-980B-E6930DF8A02A}"/>
  <bookViews>
    <workbookView xWindow="-120" yWindow="-120" windowWidth="21840" windowHeight="13350" firstSheet="1" activeTab="6" xr2:uid="{00000000-000D-0000-FFFF-FFFF00000000}"/>
  </bookViews>
  <sheets>
    <sheet name="HOME" sheetId="1" r:id="rId1"/>
    <sheet name="BASE DELL" sheetId="2" r:id="rId2"/>
    <sheet name="BASE HPE" sheetId="3" r:id="rId3"/>
    <sheet name="OPTION DELL" sheetId="4" r:id="rId4"/>
    <sheet name="OPTION HPE" sheetId="5" r:id="rId5"/>
    <sheet name="OPTION NGOÀI" sheetId="6" r:id="rId6"/>
    <sheet name="THIẾT BỊ KHÁC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29" i="4" l="1"/>
  <c r="A28" i="4"/>
  <c r="A27" i="4"/>
  <c r="A25" i="4"/>
  <c r="A24" i="4"/>
  <c r="A22" i="4"/>
  <c r="A20" i="4"/>
  <c r="A18" i="4"/>
  <c r="A17" i="4"/>
  <c r="A16" i="4"/>
  <c r="A15" i="4"/>
  <c r="A14" i="4"/>
  <c r="A13" i="4"/>
  <c r="A12" i="4"/>
  <c r="A11" i="4"/>
  <c r="A10" i="4"/>
  <c r="A8" i="4"/>
  <c r="A7" i="4"/>
  <c r="A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Chien.Tran</author>
  </authors>
  <commentList>
    <comment ref="D42" authorId="0" shapeId="0" xr:uid="{00000000-0006-0000-0100-000001000000}">
      <text>
        <r>
          <rPr>
            <sz val="9"/>
            <color rgb="FF000000"/>
            <rFont val="Tahoma"/>
            <family val="2"/>
          </rPr>
          <t xml:space="preserve">Chien.Tran:
</t>
        </r>
        <r>
          <rPr>
            <sz val="9"/>
            <color rgb="FF000000"/>
            <rFont val="Tahoma"/>
            <family val="2"/>
          </rPr>
          <t>4 slots NVMe/ SATA/ SAS (S150) - U.2 (2.5)</t>
        </r>
      </text>
    </comment>
    <comment ref="D47" authorId="0" shapeId="0" xr:uid="{00000000-0006-0000-0100-000002000000}">
      <text>
        <r>
          <rPr>
            <sz val="9"/>
            <color indexed="81"/>
            <rFont val="Tahoma"/>
            <family val="2"/>
          </rPr>
          <t xml:space="preserve">Chien.Tran:
AMD EPYC 7232P 3.10GHz, </t>
        </r>
        <r>
          <rPr>
            <b/>
            <sz val="9"/>
            <color indexed="81"/>
            <rFont val="Tahoma"/>
            <family val="2"/>
          </rPr>
          <t>8C/16T</t>
        </r>
        <r>
          <rPr>
            <sz val="9"/>
            <color indexed="81"/>
            <rFont val="Tahoma"/>
            <family val="2"/>
          </rPr>
          <t>, 32M Cache (120W) DDR4-3200</t>
        </r>
      </text>
    </comment>
    <comment ref="D48" authorId="0" shapeId="0" xr:uid="{00000000-0006-0000-0100-000003000000}">
      <text>
        <r>
          <rPr>
            <sz val="9"/>
            <color indexed="81"/>
            <rFont val="Tahoma"/>
            <family val="2"/>
          </rPr>
          <t xml:space="preserve">Chien.Tran:
AMD EPYC 7282 2.80GHz, </t>
        </r>
        <r>
          <rPr>
            <b/>
            <sz val="9"/>
            <color indexed="81"/>
            <rFont val="Tahoma"/>
            <family val="2"/>
          </rPr>
          <t>16C/32T</t>
        </r>
        <r>
          <rPr>
            <sz val="9"/>
            <color indexed="81"/>
            <rFont val="Tahoma"/>
            <family val="2"/>
          </rPr>
          <t xml:space="preserve">, 64M Cache (120W) DDR4-3200 </t>
        </r>
      </text>
    </comment>
    <comment ref="D49" authorId="0" shapeId="0" xr:uid="{00000000-0006-0000-0100-000004000000}">
      <text>
        <r>
          <rPr>
            <sz val="9"/>
            <color indexed="81"/>
            <rFont val="Tahoma"/>
            <family val="2"/>
          </rPr>
          <t xml:space="preserve">Chien.Tran:
AMD EPYC 7282 2.80GHz, </t>
        </r>
        <r>
          <rPr>
            <b/>
            <sz val="9"/>
            <color indexed="81"/>
            <rFont val="Tahoma"/>
            <family val="2"/>
          </rPr>
          <t>16C/32T</t>
        </r>
        <r>
          <rPr>
            <sz val="9"/>
            <color indexed="81"/>
            <rFont val="Tahoma"/>
            <family val="2"/>
          </rPr>
          <t xml:space="preserve">, 64M Cache (120W) DDR4-3200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Chien.Tran</author>
  </authors>
  <commentList>
    <comment ref="H12" authorId="0" shapeId="0" xr:uid="{00000000-0006-0000-0300-000001000000}">
      <text>
        <r>
          <rPr>
            <sz val="9"/>
            <color indexed="81"/>
            <rFont val="Tahoma"/>
            <family val="2"/>
          </rPr>
          <t>R240 hot: 1/3</t>
        </r>
      </text>
    </comment>
    <comment ref="C24" authorId="0" shapeId="0" xr:uid="{00000000-0006-0000-0300-000002000000}">
      <text>
        <r>
          <rPr>
            <sz val="9"/>
            <color indexed="81"/>
            <rFont val="Tahoma"/>
            <family val="2"/>
          </rPr>
          <t>Nâng cấp CPU cần 3 FAN</t>
        </r>
      </text>
    </comment>
    <comment ref="C27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Chien.Tran:</t>
        </r>
        <r>
          <rPr>
            <sz val="9"/>
            <color indexed="81"/>
            <rFont val="Tahoma"/>
            <family val="2"/>
          </rPr>
          <t xml:space="preserve">
Không VAT</t>
        </r>
      </text>
    </comment>
  </commentList>
</comments>
</file>

<file path=xl/sharedStrings.xml><?xml version="1.0" encoding="utf-8"?>
<sst xmlns="http://schemas.openxmlformats.org/spreadsheetml/2006/main" count="1480" uniqueCount="811">
  <si>
    <t>TT</t>
  </si>
  <si>
    <t>P/N</t>
  </si>
  <si>
    <t>Model</t>
  </si>
  <si>
    <t>Mô tả sản phẩm</t>
  </si>
  <si>
    <t>Stock</t>
  </si>
  <si>
    <r>
      <t xml:space="preserve">Giá End User
</t>
    </r>
    <r>
      <rPr>
        <sz val="10"/>
        <rFont val="Times New Roman"/>
        <family val="1"/>
      </rPr>
      <t xml:space="preserve">(Full VAT) </t>
    </r>
  </si>
  <si>
    <r>
      <rPr>
        <b/>
        <sz val="14"/>
        <rFont val="Times New Roman"/>
        <family val="1"/>
      </rPr>
      <t>Giá Dealer</t>
    </r>
    <r>
      <rPr>
        <sz val="10"/>
        <rFont val="Times New Roman"/>
        <family val="1"/>
      </rPr>
      <t xml:space="preserve"> 
(Full vat)</t>
    </r>
  </si>
  <si>
    <r>
      <rPr>
        <b/>
        <sz val="14"/>
        <rFont val="Times New Roman"/>
        <family val="1"/>
      </rPr>
      <t>Giá MD</t>
    </r>
    <r>
      <rPr>
        <sz val="14"/>
        <rFont val="Times New Roman"/>
        <family val="1"/>
      </rPr>
      <t xml:space="preserve">
</t>
    </r>
    <r>
      <rPr>
        <sz val="10"/>
        <rFont val="Times New Roman"/>
        <family val="1"/>
      </rPr>
      <t xml:space="preserve">(Full VAT) </t>
    </r>
  </si>
  <si>
    <t>Ghi chú</t>
  </si>
  <si>
    <t>R630-H730-USED</t>
  </si>
  <si>
    <t>R630</t>
  </si>
  <si>
    <r>
      <t>R630 8x2.5"/</t>
    </r>
    <r>
      <rPr>
        <b/>
        <sz val="10"/>
        <rFont val="Arial"/>
        <family val="2"/>
      </rPr>
      <t>2 heatsink</t>
    </r>
    <r>
      <rPr>
        <sz val="10"/>
        <rFont val="Arial"/>
        <family val="2"/>
      </rPr>
      <t>/no-RAM/no-HDD</t>
    </r>
    <r>
      <rPr>
        <b/>
        <sz val="10"/>
        <rFont val="Arial"/>
        <family val="2"/>
      </rPr>
      <t>/H730</t>
    </r>
    <r>
      <rPr>
        <sz val="10"/>
        <rFont val="Arial"/>
        <family val="2"/>
      </rPr>
      <t>/iDrac Ent/</t>
    </r>
    <r>
      <rPr>
        <b/>
        <sz val="10"/>
        <rFont val="Arial"/>
        <family val="2"/>
      </rPr>
      <t>2x750W</t>
    </r>
    <r>
      <rPr>
        <sz val="10"/>
        <rFont val="Arial"/>
        <family val="2"/>
      </rPr>
      <t>/no-rail</t>
    </r>
  </si>
  <si>
    <t>R630-H730P-USED</t>
  </si>
  <si>
    <r>
      <t>R630 8x2.5"/</t>
    </r>
    <r>
      <rPr>
        <b/>
        <sz val="10"/>
        <rFont val="Arial"/>
        <family val="2"/>
      </rPr>
      <t>2 heatsink</t>
    </r>
    <r>
      <rPr>
        <sz val="10"/>
        <rFont val="Arial"/>
        <family val="2"/>
      </rPr>
      <t>/no-RAM/no-HDD/</t>
    </r>
    <r>
      <rPr>
        <b/>
        <sz val="10"/>
        <rFont val="Arial"/>
        <family val="2"/>
      </rPr>
      <t>H730P</t>
    </r>
    <r>
      <rPr>
        <sz val="10"/>
        <rFont val="Arial"/>
        <family val="2"/>
      </rPr>
      <t>/iDrac Ent/</t>
    </r>
    <r>
      <rPr>
        <b/>
        <sz val="10"/>
        <rFont val="Arial"/>
        <family val="2"/>
      </rPr>
      <t>2x750W</t>
    </r>
    <r>
      <rPr>
        <sz val="10"/>
        <rFont val="Arial"/>
        <family val="2"/>
      </rPr>
      <t>/no-rail</t>
    </r>
  </si>
  <si>
    <t>R730XD-3.5-USED</t>
  </si>
  <si>
    <t>R730XD</t>
  </si>
  <si>
    <r>
      <t>R730xd 12x3.5"/</t>
    </r>
    <r>
      <rPr>
        <b/>
        <sz val="10"/>
        <rFont val="Arial"/>
        <family val="2"/>
      </rPr>
      <t>2 heatsink</t>
    </r>
    <r>
      <rPr>
        <sz val="10"/>
        <rFont val="Arial"/>
        <family val="2"/>
      </rPr>
      <t>/no-RAM/no-HDD/</t>
    </r>
    <r>
      <rPr>
        <b/>
        <sz val="10"/>
        <rFont val="Arial"/>
        <family val="2"/>
      </rPr>
      <t>H730P</t>
    </r>
    <r>
      <rPr>
        <sz val="10"/>
        <rFont val="Arial"/>
        <family val="2"/>
      </rPr>
      <t>/iDrac Ent</t>
    </r>
    <r>
      <rPr>
        <b/>
        <sz val="10"/>
        <rFont val="Arial"/>
        <family val="2"/>
      </rPr>
      <t>/2x750W</t>
    </r>
    <r>
      <rPr>
        <sz val="10"/>
        <rFont val="Arial"/>
        <family val="2"/>
      </rPr>
      <t>/no-rail</t>
    </r>
  </si>
  <si>
    <t>R730XD-2.5-USED</t>
  </si>
  <si>
    <r>
      <t>R730xd 24x2.5"/</t>
    </r>
    <r>
      <rPr>
        <b/>
        <sz val="10"/>
        <rFont val="Arial"/>
        <family val="2"/>
      </rPr>
      <t>2 heatsink</t>
    </r>
    <r>
      <rPr>
        <sz val="10"/>
        <rFont val="Arial"/>
        <family val="2"/>
      </rPr>
      <t>/no-RAM/no-HDD/</t>
    </r>
    <r>
      <rPr>
        <b/>
        <sz val="10"/>
        <rFont val="Arial"/>
        <family val="2"/>
      </rPr>
      <t>H730P</t>
    </r>
    <r>
      <rPr>
        <sz val="10"/>
        <rFont val="Arial"/>
        <family val="2"/>
      </rPr>
      <t>/iDrac Ent/</t>
    </r>
    <r>
      <rPr>
        <b/>
        <sz val="10"/>
        <rFont val="Arial"/>
        <family val="2"/>
      </rPr>
      <t>2x750W</t>
    </r>
    <r>
      <rPr>
        <sz val="10"/>
        <rFont val="Arial"/>
        <family val="2"/>
      </rPr>
      <t>/no-ral</t>
    </r>
  </si>
  <si>
    <t>R730XD-16x3.5-USED</t>
  </si>
  <si>
    <r>
      <t>R730xd 16x3.5"/</t>
    </r>
    <r>
      <rPr>
        <b/>
        <sz val="10"/>
        <rFont val="Arial"/>
        <family val="2"/>
      </rPr>
      <t>2 heatsink</t>
    </r>
    <r>
      <rPr>
        <sz val="10"/>
        <rFont val="Arial"/>
        <family val="2"/>
      </rPr>
      <t>/no-RAM/no-HDD/</t>
    </r>
    <r>
      <rPr>
        <b/>
        <sz val="10"/>
        <rFont val="Arial"/>
        <family val="2"/>
      </rPr>
      <t>H730P</t>
    </r>
    <r>
      <rPr>
        <sz val="10"/>
        <rFont val="Arial"/>
        <family val="2"/>
      </rPr>
      <t>/iDrac Ent/</t>
    </r>
    <r>
      <rPr>
        <b/>
        <sz val="10"/>
        <rFont val="Arial"/>
        <family val="2"/>
      </rPr>
      <t>2x750W</t>
    </r>
    <r>
      <rPr>
        <sz val="10"/>
        <rFont val="Arial"/>
        <family val="2"/>
      </rPr>
      <t>/no-rail</t>
    </r>
  </si>
  <si>
    <t>R640-2.5-USE</t>
  </si>
  <si>
    <t>R640</t>
  </si>
  <si>
    <r>
      <t>R640 8x2.5"/</t>
    </r>
    <r>
      <rPr>
        <b/>
        <sz val="10"/>
        <rFont val="Arial"/>
        <family val="2"/>
      </rPr>
      <t>2 heatsink</t>
    </r>
    <r>
      <rPr>
        <sz val="10"/>
        <rFont val="Arial"/>
        <family val="2"/>
      </rPr>
      <t>/no-RAM/no-HDD/</t>
    </r>
    <r>
      <rPr>
        <b/>
        <sz val="10"/>
        <rFont val="Arial"/>
        <family val="2"/>
      </rPr>
      <t>H730P</t>
    </r>
    <r>
      <rPr>
        <sz val="10"/>
        <rFont val="Arial"/>
        <family val="2"/>
      </rPr>
      <t>/iDrac Ent/</t>
    </r>
    <r>
      <rPr>
        <b/>
        <sz val="10"/>
        <rFont val="Arial"/>
        <family val="2"/>
      </rPr>
      <t>2x750W</t>
    </r>
    <r>
      <rPr>
        <sz val="10"/>
        <rFont val="Arial"/>
        <family val="2"/>
      </rPr>
      <t>/no-rail</t>
    </r>
  </si>
  <si>
    <t>R640-2.5-NEW</t>
  </si>
  <si>
    <r>
      <t>R640 8x2.5"/</t>
    </r>
    <r>
      <rPr>
        <b/>
        <sz val="10"/>
        <rFont val="Arial"/>
        <family val="2"/>
      </rPr>
      <t>Silver 4210R</t>
    </r>
    <r>
      <rPr>
        <sz val="10"/>
        <rFont val="Arial"/>
        <family val="2"/>
      </rPr>
      <t xml:space="preserve">/ </t>
    </r>
    <r>
      <rPr>
        <b/>
        <sz val="10"/>
        <rFont val="Arial"/>
        <family val="2"/>
      </rPr>
      <t>16GB</t>
    </r>
    <r>
      <rPr>
        <sz val="10"/>
        <rFont val="Arial"/>
        <family val="2"/>
      </rPr>
      <t xml:space="preserve"> RDIMM 3200MTs/ </t>
    </r>
    <r>
      <rPr>
        <b/>
        <sz val="10"/>
        <rFont val="Arial"/>
        <family val="2"/>
      </rPr>
      <t>1.2TB</t>
    </r>
    <r>
      <rPr>
        <sz val="10"/>
        <rFont val="Arial"/>
        <family val="2"/>
      </rPr>
      <t xml:space="preserve"> 10K RPM SAS 12Gbps 512n 2.5in Hot-plug Hard Drive/ </t>
    </r>
    <r>
      <rPr>
        <b/>
        <sz val="10"/>
        <rFont val="Arial"/>
        <family val="2"/>
      </rPr>
      <t>PERC H750</t>
    </r>
    <r>
      <rPr>
        <sz val="10"/>
        <rFont val="Arial"/>
        <family val="2"/>
      </rPr>
      <t xml:space="preserve">/ iDRAC9 Ent/BC5720QP/ 2x750W PSU/ Bezel/ DVD Ext/ No OS/ </t>
    </r>
    <r>
      <rPr>
        <b/>
        <sz val="10"/>
        <rFont val="Arial"/>
        <family val="2"/>
      </rPr>
      <t>4 Yrs Pro</t>
    </r>
  </si>
  <si>
    <t>R740-2.5-USE</t>
  </si>
  <si>
    <t>R740</t>
  </si>
  <si>
    <r>
      <t>R740 16x2.5"/</t>
    </r>
    <r>
      <rPr>
        <b/>
        <sz val="10"/>
        <rFont val="Arial"/>
        <family val="2"/>
      </rPr>
      <t>2 heatsink</t>
    </r>
    <r>
      <rPr>
        <sz val="10"/>
        <rFont val="Arial"/>
        <family val="2"/>
      </rPr>
      <t>/no-RAM/no-HDD/</t>
    </r>
    <r>
      <rPr>
        <b/>
        <sz val="10"/>
        <rFont val="Arial"/>
        <family val="2"/>
      </rPr>
      <t>H730P</t>
    </r>
    <r>
      <rPr>
        <sz val="10"/>
        <rFont val="Arial"/>
        <family val="2"/>
      </rPr>
      <t>/iDrac Ent/</t>
    </r>
    <r>
      <rPr>
        <b/>
        <sz val="10"/>
        <rFont val="Arial"/>
        <family val="2"/>
      </rPr>
      <t>2x750W</t>
    </r>
    <r>
      <rPr>
        <sz val="10"/>
        <rFont val="Arial"/>
        <family val="2"/>
      </rPr>
      <t>/no-rail</t>
    </r>
  </si>
  <si>
    <t>R740-2.5-NEW</t>
  </si>
  <si>
    <r>
      <t>R740 8x2.5"/</t>
    </r>
    <r>
      <rPr>
        <b/>
        <sz val="10"/>
        <rFont val="Arial"/>
        <family val="2"/>
      </rPr>
      <t>Silver 4210R</t>
    </r>
    <r>
      <rPr>
        <sz val="10"/>
        <rFont val="Arial"/>
        <family val="2"/>
      </rPr>
      <t xml:space="preserve">/ </t>
    </r>
    <r>
      <rPr>
        <b/>
        <sz val="10"/>
        <rFont val="Arial"/>
        <family val="2"/>
      </rPr>
      <t>16GB</t>
    </r>
    <r>
      <rPr>
        <sz val="10"/>
        <rFont val="Arial"/>
        <family val="2"/>
      </rPr>
      <t xml:space="preserve"> RDIMM 3200MTs/ </t>
    </r>
    <r>
      <rPr>
        <b/>
        <sz val="10"/>
        <rFont val="Arial"/>
        <family val="2"/>
      </rPr>
      <t>1.2TB</t>
    </r>
    <r>
      <rPr>
        <sz val="10"/>
        <rFont val="Arial"/>
        <family val="2"/>
      </rPr>
      <t xml:space="preserve"> 10K RPM SAS 12Gbps 512n 2.5in Hot-plug Hard Drive/ </t>
    </r>
    <r>
      <rPr>
        <b/>
        <sz val="10"/>
        <rFont val="Arial"/>
        <family val="2"/>
      </rPr>
      <t>PERC H750</t>
    </r>
    <r>
      <rPr>
        <sz val="10"/>
        <rFont val="Arial"/>
        <family val="2"/>
      </rPr>
      <t xml:space="preserve">/ iDRAC9 Ent/BC5720QP/ 2x750W PSU/ Bezel/ DVD Ext/ No OS/ </t>
    </r>
    <r>
      <rPr>
        <b/>
        <sz val="10"/>
        <rFont val="Arial"/>
        <family val="2"/>
      </rPr>
      <t>4 Yrs Pro</t>
    </r>
  </si>
  <si>
    <t>42DEFT040-201</t>
  </si>
  <si>
    <t>Server 14G</t>
  </si>
  <si>
    <t>T40 /Intel Xeon E-2224G 3.5GHz/ 8GB DDR4 UDIMM, 2666 MT/ 1TB 7.2K Entry SATA 3.5in Cabled Hard Drive/ DVDRW/ Intel I219-LM Gigabit Ethernet/ Single Power Supply, 300W/ No OS/ 4Yrs Pro</t>
  </si>
  <si>
    <t>42DEFR340-010</t>
  </si>
  <si>
    <t>R340 8x2.5'' /Intel Xeon E-2224/ 8GB UDIMM 2666MTs/ 600GB 10K RPM SAS 12Gbps 2.5'' Hot-plug Hard Drive/ DVDRW/ PERC H330/ DP On-Board LOM 1GBE/ iDrac9,Express/ 350W PSU/ Bezel/ Static Rails/ 4 Yrs Pro</t>
  </si>
  <si>
    <t>Số lượng còn ít</t>
  </si>
  <si>
    <t>42DEFR340-001</t>
  </si>
  <si>
    <t>R340 8x2.5'' /Intel Xeon E-2224/ 2 x 8GB UDIMM 2666MTs/ 600GB 10K RPM SAS 12Gbps 2.5'' Hot-plug Hard Drive/ DVDRW/ PERC H330/ DP On-Board LOM 1GBE/ iDrac9,Express/ 350W PSU/ Bezel/ Static Rails/ 4 Yrs Pro</t>
  </si>
  <si>
    <t>42SVRDT150-901</t>
  </si>
  <si>
    <t>T150/ Perc</t>
  </si>
  <si>
    <t>T150 4x3.5 Cabled/PERC /E-2324G/ 8GB DDR4 UDIMM, 3200MT/ 2TB SATA 6Gbps 7.2K 512n 3.5in Cabled/ PERC H755/ iDRAC9 Express/ BC5720DP 1GbE LOM/ DVDRW/ Cabled PSU 300W/ No OS/ 4 Yrs Pro</t>
  </si>
  <si>
    <t>42SVRDT150-902</t>
  </si>
  <si>
    <t>T150 4x3.5 Cabled/PERC /E-2334/ 8GB DDR4 UDIMM, 3200MT/  2TB SATA 6Gbps 7.2K 512n 3.5in Cabled/ PERC H755/ iDRAC9 Express/ BC5720DP 1GbE LOM/ DVDRW/ Cabled PSU 300W/ No OS/ 4 Yrs Pro</t>
  </si>
  <si>
    <t>42SVRDT150-903</t>
  </si>
  <si>
    <t>T150/ No Perc</t>
  </si>
  <si>
    <t>T150 4x3.5 Cabled/No Perc /E-2324G/ 8GB DDR4 UDIMM, 3200MT/ 2TB 7.2K RPM SATA 6Gbps 512n 3.5'' Cabled Hard Drive/Embedded SATA / iDRAC9 Express/ BC5720DP 1GbE LOM/ DVDRW/ Cabled PSU 300W/ No OS/ 4 Yrs Pro</t>
  </si>
  <si>
    <t>42SVRDT150-904</t>
  </si>
  <si>
    <t>T150 4x3.5 Cabled/No Perc /E-2334/ 8GB DDR4 UDIMM, 3200MT/ 2TB 7.2K RPM SATA 6Gbps 512n 3.5'' Cabled Hard Drive/ Embedded SATA/ iDRAC9 Express/ BC5720DP 1GbE LOM/ DVDRW/ Cabled PSU 300W/ No OS/ 4 Yrs Pro</t>
  </si>
  <si>
    <t>42SVRDT350-905</t>
  </si>
  <si>
    <t>T350/ 600W</t>
  </si>
  <si>
    <t>T350 8x3.5 HP/Perc /E-2324G/ 16GB DDR4 UDIMM, 3200MT/ 2TB 7.2K RPM SATA 6Gbps 512n 3.5'' Hot-plug Hard Drive/ PERC H755/ iDRAC9 Express/ BC5720DP 1GbE LOM/ DVDRW/ HP PSU 600W/ No OS/ 4 Yrs Pro</t>
  </si>
  <si>
    <t>42SVRDT350-906</t>
  </si>
  <si>
    <t>T350 8x3.5 HP/Perc /E-2334/ 16GB DDR4 UDIMM, 3200MT/ 2TB 7.2K RPM SATA 6Gbps 512n 3.5'' Hot-plug Hard Drive/ PERC H755/ iDRAC9 Express/ BC5720DP 1GbE LOM/ DVDRW/ HP PSU 600W/ No OS/ 4 Yrs Pro</t>
  </si>
  <si>
    <t>42SVRDT350-907</t>
  </si>
  <si>
    <t>T350/ 450W</t>
  </si>
  <si>
    <t>T350 8x3.5 HP/Perc /E-2324G/ 16GB DDR4 UDIMM, 3200MT/ 2TB 7.2K RPM SATA 6Gbps 512n 3.5'' Hot-plug Hard Drive/ PERC H755/ iDRAC9 Express/ BC5720DP 1GbE LOM/ DVDRW/ Cabled PSU 450W/ No OS/ 4 Yrs Pro</t>
  </si>
  <si>
    <t>Order</t>
  </si>
  <si>
    <t>42SVRDT350-908</t>
  </si>
  <si>
    <t>T350 8x3.5 HP/Perc /E-2334/ 16GB DDR4 UDIMM, 3200MT/ 2TB 7.2K RPM SATA 6Gbps 512n 3.5'' Hot-plug Hard Drive/ PERC H755/ iDRAC9 Express/ BC5720DP 1GbE LOM/ DVDRW/ Cabled PSU 450W/ No OS/ 4 Yrs Pro</t>
  </si>
  <si>
    <t>42SVRDR250-909</t>
  </si>
  <si>
    <t>R250/ 16G</t>
  </si>
  <si>
    <t>R250 4x3.5 HP/Perc /E-2324G/ 16GB DDR4 UDIMM, 3200MT/ 2TB 7.2K RPM NLSAS 12Gbps 512n 3.5'' Hot-plug Hard Drive/ PERC H755/ iDRAC9 Express/ BC5720DP 1GbE LOM/ DVDRW/ Cabled PSU 450W/ No OS/ 4 Yrs Pro</t>
  </si>
  <si>
    <t>42SVRDR250-910</t>
  </si>
  <si>
    <t>R250 4x3.5 HP/Perc /E-2334/ 16GB DDR4 UDIMM, 3200MT/ 2TB 7.2K RPM NLSAS 12Gbps 512n 3.5'' Hot-plug Hard Drive/ PERC H755/ iDRAC9 Express/ BC5720DP 1GbE LOM/ DVDRW/ Cabled PSU 450W/ No OS/ 4 Yrs Pro</t>
  </si>
  <si>
    <t>42SVRDR250-911</t>
  </si>
  <si>
    <t>R250/ 8G</t>
  </si>
  <si>
    <t>R250 4x3.5 HP/Perc /E-2324G/ 8GB DDR4 UDIMM, 3200MT/ 2TB 7.2K RPM NLSAS 12Gbps 512n 3.5'' Hot-plug Hard Drive/ PERC H755/ iDRAC9 Express/ BC5720DP 1GbE LOM/ DVDRW/ Cabled PSU 450W/ No OS/ 4 Yrs Pro</t>
  </si>
  <si>
    <t>42SVRDR250-912</t>
  </si>
  <si>
    <t>R250 4x3.5 HP/Perc /E-2334/ 8GB DDR4 UDIMM, 3200MT/ 2TB 7.2K RPM NLSAS 12Gbps 512n 3.5'' Hot-plug Hard Drive/ PERC H755/ iDRAC9 Express/ BC5720DP 1GbE LOM/ DVDRW/ Cabled PSU 450W/ No OS/ 4 Yrs Pro</t>
  </si>
  <si>
    <t>42SVRDR250-913</t>
  </si>
  <si>
    <t>R250 Cabled/ 16G</t>
  </si>
  <si>
    <t>R250 4x3.5 Cabled/No Perc /E-2324G/ 16GB DDR4 UDIMM, 3200MT/ 2TB 7.2K RPM SATA 6Gbps 512n 3.5'' Cabled Hard Drive/ Embedded SATA/ iDRAC9 Express/ BC5720DP 1GbE LOM/ DVDRW/ Cabled PSU 450W/ No OS/ 4 Yrs Pro</t>
  </si>
  <si>
    <t>42SVRDR250-914</t>
  </si>
  <si>
    <t>R250 4x3.5 Cabled/No Perc /E-2334/ 16GB DDR4 UDIMM, 3200MT/ 2TB 7.2K RPM SATA 6Gbps 512n 3.5'' Cabled Hard Drive/ Embedded SATA/ iDRAC9 Express/ BC5720DP 1GbE LOM/ DVDRW/ Cabled PSU 450W/ No OS/ 4 Yrs Pro</t>
  </si>
  <si>
    <t>42SVRDR250-915</t>
  </si>
  <si>
    <t>R250 Cabled/ 8G</t>
  </si>
  <si>
    <t>R250 4x3.5 Cabled/No Perc /E-2324G/ 8GB DDR4 UDIMM, 3200MT/ 2TB 7.2K RPM SATA 6Gbps 512n 3.5'' Cabled Hard Drive/ Embedded SATA/ iDRAC9 Express/ BC5720DP 1GbE LOM/ DVDRW/ Cabled PSU 450W/ No OS/ 4 Yrs Pro</t>
  </si>
  <si>
    <t>42SVRDR250-916</t>
  </si>
  <si>
    <t>R250 4x3.5 Cabled/No Perc /E-2334/ 8GB DDR4 UDIMM, 3200MT/ 2TB 7.2K RPM SATA 6Gbps 512n 3.5'' Cabled Hard Drive/ Embedded SATA/ iDRAC9 Express/ BC5720DP 1GbE LOM/ DVDRW/ Cabled PSU 450W/ No OS/ 4 Yrs Pro</t>
  </si>
  <si>
    <t>42SVRDR350-917</t>
  </si>
  <si>
    <t>R350 8x2.5</t>
  </si>
  <si>
    <t>R350 8x2.5 HP/Perc /E-2324G/ 16GB DDR4 UDIMM, 3200MT/ 1.2TB 10K RPM SAS 12Gbps 512n 2.5'' Hot-plug Hard Drive/ PERC H755/ iDRAC9 Express/ BC5720DP 1GbE LOM/ DVD Ext/ HP PSU 600W/ No OS/ 4 Yrs Pro</t>
  </si>
  <si>
    <t>42SVRDR350-918</t>
  </si>
  <si>
    <t>R350 8x2.5 HP/Perc /E-2334/ 16GB DDR4 UDIMM, 3200MT/ 1.2TB 10K RPM SAS 12Gbps 512n 2.5'' Hot-plug Hard Drive/ PERC H755/ iDRAC9 Express/ BC5720DP 1GbE LOM/ DVD Ext/ HP PSU 600W/ No OS/ 4 Yrs Pro</t>
  </si>
  <si>
    <t>42SVRDR350-919</t>
  </si>
  <si>
    <t>R350 4x3.5</t>
  </si>
  <si>
    <t>R350 4x3.5 HP/Perc /E-2324G/ 16GB DDR4 UDIMM, 3200MT/ 2TB 7.2K RPM NLSAS 12Gbps 512n 3.5'' Hot-plug Hard Drive/ PERC H755/ iDRAC9 Express/ BC5720DP 1GbE LOM/ DVDRW/ HP PSU 600W/ No OS/ 4 Yrs Pro</t>
  </si>
  <si>
    <t>42SVRDR350-920</t>
  </si>
  <si>
    <t>R350 4x3.5 HP/Perc /E-2334/ 16GB DDR4 UDIMM, 3200MT/ 2TB 7.2K RPM NLSAS 12Gbps 512n 3.5'' Hot-plug Hard Drive/ PERC H755/ iDRAC9 Express/ BC5720DP 1GbE LOM/ DVDRW/ HP PSU 600W/ No OS/ 4 Yrs Pro</t>
  </si>
  <si>
    <t>42SVRDR450-702</t>
  </si>
  <si>
    <t>R450</t>
  </si>
  <si>
    <t>R450 8x2.5"/Silver 4310/ 16GB RDIMM 3200MTs/ 1.2TB 10K RPM SAS 12Gbps 512n 2.5in Hot-plug Hard Drive/ PERC H755/ iDRAC9 Ent/ BC5720DP 1GbE LOM/ 600W PSU/ Bezel/ DVD Ext/ No OS/ 4 Yrs Pro</t>
  </si>
  <si>
    <t>42SVRDR450-703</t>
  </si>
  <si>
    <t>R450 4x3.5"/Silver 4310 18M, 2.10 GHz, 12 core/16GB RDIMM 3200MTs/ 2TB 7.2K RPM NLSAS 12Gbps 512n 3.5'' Hot-plug Hard Drive/ PERC H755/ iDRAC9 Ent/ BC5720DP 1GbE LOM/ 600W PSU/ Bezel/ DVD-RW/ No OS/ 4 Yrs Pro</t>
  </si>
  <si>
    <t>42SVRDR550-704</t>
  </si>
  <si>
    <t>R550</t>
  </si>
  <si>
    <t>R550 8x2.5"/Silver 4310/ 16GB RDIMM 3200MTs/ 1.2TB 10K RPM SAS 12Gbps 512n 2.5in Hot-plug Hard Drive/ PERC H755/ iDRAC9 Ent/ BC5720DP 1GbE LOM/ 600W PSU/ Bezel/ DVD Ext/ No OS/ 4 Yrs Pro</t>
  </si>
  <si>
    <t>42SVRDR550-705</t>
  </si>
  <si>
    <t>R550 16x2.5"/Silver 4310/ 16GB RDIMM 3200MTs/ 1.2TB 10K RPM SAS 12Gbps 512n 2.5in Hot-plug Hard Drive/ PERC H755/ iDRAC9 Ent/ BC5720DP 1GbE LOM/ 600W PSU/ Bezel/ DVD Ext/ No OS/ 4 Yrs Pro</t>
  </si>
  <si>
    <t>42SVRDR550-706</t>
  </si>
  <si>
    <t>R550 8x3.5" /Silver 4310/ 16GB RDIMM 3200MTs/ 2TB 7.2K RPM NLSAS 12Gbps 512n 3.5'' Hot-plug Hard Drive/ PERC H755/ iDRAC9 Ent/ BC5720DP 1GbE LOM/ 600W PSU/ Bezel/ DVD Ext/ No OS/ 4 Yrs Pro</t>
  </si>
  <si>
    <t>42SVRDR650-707</t>
  </si>
  <si>
    <t>R650xs</t>
  </si>
  <si>
    <t>R650xs 8x2.5"/Silver 4310/ 16GB RDIMM 3200MTs/ 1.2TB 10K RPM SAS 12Gbps 512n 2.5in Hot-plug Hard Drive/ PERC H755/ iDRAC9 Ent/ DP 1GbE LOM + BC5720QP OCP/ 2x800W PSU/ Bezel/ DVD Ext/ No OS/ 4 Yrs Pro</t>
  </si>
  <si>
    <t>42SVRDR650-708</t>
  </si>
  <si>
    <t>R650xs 4x3.5"/Silver 4310/ 16GB RDIMM 3200MTs/ 2TB 7.2K RPM NLSAS 12Gbps 512n 3.5'' Hot-plug Hard Drive/ PERC H755/ iDRAC9 Ent/ DP 1GbE LOM + BC5720QP OCP/ 2x800W PSU/ Bezel/ DVD Ext/ No OS/ 4 Yrs Pro</t>
  </si>
  <si>
    <t>42SVRDR750-709</t>
  </si>
  <si>
    <t>R750xs</t>
  </si>
  <si>
    <t>R750xs 8x3.5"/Silver 4310/ 16GB RDIMM 3200MTs/ 2TB 7.2K RPM NLSAS 12Gbps 512n 3.5'' Hot-plug Hard Drive/ PERC H755/ iDRAC9 Ent/ DP 1GbE LOM + BC5720QP OCP/ 2x800W PSU/ Bezel/ DVD Ext/ No OS/ 4 Yrs Pro</t>
  </si>
  <si>
    <t>42SVRDR750-710</t>
  </si>
  <si>
    <t>R750</t>
  </si>
  <si>
    <t>R750 24x2.5"/Silver 4310/ 16GB RDIMM 3200MTs/ 1.2TB 10K RPM SAS 12Gbps 512n 2.5in Hot-plug Hard Drive/ PERC H755/ iDRAC9 Ent/ DP 1GbE LOM + BC5720QP OCP/ 2x1100W PSU/ Bezel/ DVD Ext/ No OS/ 4 Yrs Pro</t>
  </si>
  <si>
    <t>42SVRDR750-711</t>
  </si>
  <si>
    <t>R750 12x3.5"(F)+4x2.5®/Silver 4310/ 16GB RDIMM 3200MTs/ 2TB 7.2K RPM NLSAS 12Gbps 512n 3.5'' Hot-plug + 1.2TB 10k RPM SAS 12Gbps 2.5" FlexBay HP/ PERC H755/ iDRAC9 Ent/ DP 1GbE LOM + BC5720QP OCP/ 2x1100W PSU/ Bezel/ DVD Ext/ No OS/ 4 Yrs Pro</t>
  </si>
  <si>
    <t>42SVRDT550-712</t>
  </si>
  <si>
    <t>T550</t>
  </si>
  <si>
    <t>T550 8x2.5"/Silver 4310/ 16GB RDIMM 3200MTs/ 1.2TB 10K RPM SAS 12Gbps 512n 2.5in Hot-plug Hard Drive/ PERC H755/ iDRAC9 Ent/ BC5720QP OCP/ 1100W PSU/ Bezel/ DVD Ext/ No OS/ 4 Yrs Pro</t>
  </si>
  <si>
    <t>42SVRDT550-713</t>
  </si>
  <si>
    <t>T550 16x2.5"/Silver 4310/ 16GB RDIMM 3200MTs/ 1.2TB 10K RPM SAS 12Gbps 512n 2.5in Hot-plug Hard Drive/ PERC H755/ iDRAC9 Ent/ BC5720QP OCP/ 1100W PSU/ Bezel/ DVD Ext/ No OS/ 4 Yrs Pro</t>
  </si>
  <si>
    <t>42SVRDT550-714</t>
  </si>
  <si>
    <t>T550 8x3.5"/Silver 4310/ 16GB RDIMM 3200MTs/ 2TB 7.2K RPM NLSAS 12Gbps 512n 3.5'' Hot-plug Hard Drive/ PERC H755/ iDRAC9 Ent/ BC5720QP OCP/ 1100W PSU/ Bezel/ DVD Ext/ No OS/ 4 Yrs Pro</t>
  </si>
  <si>
    <t>42SVRDR651-715</t>
  </si>
  <si>
    <t>Server AMD</t>
  </si>
  <si>
    <t>R6515 4x3.5"/EPYC 7232P/ 16GB RDIMM 3200MTs/ 2TB 7.2K RPM NLSAS 12Gbps 512n 3.5'' Hot-plug Hard Drive/ PERC H730P/ iDRAC X5 Ent/ BC5720 DP LOM/ 2x 550W PSU/ Bezel/ ARM/ DVDRW/ No OS/ 4 Yrs Pro</t>
  </si>
  <si>
    <t>42SVRDR652-716</t>
  </si>
  <si>
    <t>R6525 4x3.5"/EPYC 7282/ 16GB RDIMM 3200MTs/ 2TB 7.2K RPM NLSAS 12Gbps 512n 3.5'' Hot-plug Hard Drive/ PERC H755/ iDRAC X5 Ent/ BC5720 DP LOM/ 2x 800W PSU/ Bezel/ ARM/ No OS/ 4 Yrs Pro</t>
  </si>
  <si>
    <t>42SVRDR752-717</t>
  </si>
  <si>
    <t>R7525 8x3.5"/EPYC 7282 16C/32T 2.80G/ 16GB RDIMM 3200MTs/ 2TB 7.2K RPM NLSAS 12Gbps 512n 3.5'' Hot-plug Hard Drive/ PERC H745/ iDRAC X5 Ent/ BC5720 DP LOM/ 2x 800W PSU/ Bezel/ ARM/ No OS/ 4 Yrs Pro</t>
  </si>
  <si>
    <t>Giá End User</t>
  </si>
  <si>
    <r>
      <rPr>
        <b/>
        <sz val="14"/>
        <rFont val="Times New Roman"/>
        <family val="1"/>
      </rPr>
      <t>Giá Dealer</t>
    </r>
    <r>
      <rPr>
        <sz val="10"/>
        <rFont val="Times New Roman"/>
        <family val="1"/>
      </rPr>
      <t xml:space="preserve"> </t>
    </r>
  </si>
  <si>
    <t>PROMOTION - NonMasters</t>
  </si>
  <si>
    <t>From Elite</t>
  </si>
  <si>
    <t>From Hpe</t>
  </si>
  <si>
    <t>DL380G9-2.5-USED</t>
  </si>
  <si>
    <t>DL380 Gen9</t>
  </si>
  <si>
    <r>
      <t>DL380 Gen9 8x2.5"/</t>
    </r>
    <r>
      <rPr>
        <b/>
        <sz val="12"/>
        <rFont val="Times New Roman"/>
        <family val="1"/>
      </rPr>
      <t>2 heatsink</t>
    </r>
    <r>
      <rPr>
        <sz val="12"/>
        <rFont val="Times New Roman"/>
        <family val="1"/>
      </rPr>
      <t>/no-RAM/no-HDD</t>
    </r>
    <r>
      <rPr>
        <b/>
        <sz val="12"/>
        <rFont val="Times New Roman"/>
        <family val="1"/>
      </rPr>
      <t>/P440ar</t>
    </r>
    <r>
      <rPr>
        <sz val="12"/>
        <rFont val="Times New Roman"/>
        <family val="1"/>
      </rPr>
      <t>/iLO Adv/</t>
    </r>
    <r>
      <rPr>
        <b/>
        <sz val="12"/>
        <rFont val="Times New Roman"/>
        <family val="1"/>
      </rPr>
      <t>2x500W</t>
    </r>
    <r>
      <rPr>
        <sz val="12"/>
        <rFont val="Times New Roman"/>
        <family val="1"/>
      </rPr>
      <t>/rail zin</t>
    </r>
  </si>
  <si>
    <t>DL380G9-3.5-USED</t>
  </si>
  <si>
    <r>
      <t>DL380 Gen9 12x3.5"/</t>
    </r>
    <r>
      <rPr>
        <b/>
        <sz val="12"/>
        <rFont val="Times New Roman"/>
        <family val="1"/>
      </rPr>
      <t>2 heatsink</t>
    </r>
    <r>
      <rPr>
        <sz val="12"/>
        <rFont val="Times New Roman"/>
        <family val="1"/>
      </rPr>
      <t>/no-RAM/no-HDD</t>
    </r>
    <r>
      <rPr>
        <b/>
        <sz val="12"/>
        <rFont val="Times New Roman"/>
        <family val="1"/>
      </rPr>
      <t>/P440ar</t>
    </r>
    <r>
      <rPr>
        <sz val="12"/>
        <rFont val="Times New Roman"/>
        <family val="1"/>
      </rPr>
      <t>/iLO Adv/</t>
    </r>
    <r>
      <rPr>
        <b/>
        <sz val="12"/>
        <rFont val="Times New Roman"/>
        <family val="1"/>
      </rPr>
      <t>2x500W</t>
    </r>
    <r>
      <rPr>
        <sz val="12"/>
        <rFont val="Times New Roman"/>
        <family val="1"/>
      </rPr>
      <t>/rail zin</t>
    </r>
  </si>
  <si>
    <t>DL388G10-2.5-NEW</t>
  </si>
  <si>
    <t>DL388 Gen10</t>
  </si>
  <si>
    <r>
      <t>DL380 Gen10 8x2.5"/</t>
    </r>
    <r>
      <rPr>
        <b/>
        <sz val="12"/>
        <rFont val="Times New Roman"/>
        <family val="1"/>
      </rPr>
      <t>2 heatsink</t>
    </r>
    <r>
      <rPr>
        <sz val="12"/>
        <rFont val="Times New Roman"/>
        <family val="1"/>
      </rPr>
      <t>/no-RAM/no-HDD</t>
    </r>
    <r>
      <rPr>
        <b/>
        <sz val="12"/>
        <rFont val="Times New Roman"/>
        <family val="1"/>
      </rPr>
      <t>/P408i-a</t>
    </r>
    <r>
      <rPr>
        <sz val="12"/>
        <rFont val="Times New Roman"/>
        <family val="1"/>
      </rPr>
      <t>/iLO Adv/</t>
    </r>
    <r>
      <rPr>
        <b/>
        <sz val="12"/>
        <rFont val="Times New Roman"/>
        <family val="1"/>
      </rPr>
      <t>2x500W</t>
    </r>
    <r>
      <rPr>
        <sz val="12"/>
        <rFont val="Times New Roman"/>
        <family val="1"/>
      </rPr>
      <t>/3y NBD FC</t>
    </r>
  </si>
  <si>
    <t>DL385 G10+ 8LFF</t>
  </si>
  <si>
    <t>DL385 Gen10 Plus</t>
  </si>
  <si>
    <t>DL385 Gen10 Plus, 8LFF, E7252, 16GB, E208i-a, 800W, non-HDD, 4y TC Basic</t>
  </si>
  <si>
    <t>Chip AMD</t>
  </si>
  <si>
    <t>DL385 Gen10 Plus, 8SFF, E7252, 16GB, E208i-a, 800W, non-HDD, 4y TC Basic</t>
  </si>
  <si>
    <t>DL345 G10+ 8LFF</t>
  </si>
  <si>
    <t>DL345 Gen10 Plus</t>
  </si>
  <si>
    <t>DL345 Gen10 Plus, 8LFF, E7232P, 16GB, E208i-a, 500W, non-HDD, 4y TC Basic</t>
  </si>
  <si>
    <t>DL345 Gen10 Plus, 8LFF, E7302P, 16GB, E208i-a, 500W, non-HDD, 4y TC Basic</t>
  </si>
  <si>
    <t>DL345 G10+ 8SFF</t>
  </si>
  <si>
    <t>DL345 Gen10 Plus, 8SFF, E7232P, 16GB, E208i-a, 500W, non-HDD, 4y TC Basic</t>
  </si>
  <si>
    <t>DL345 Gen10 Plus, 8SFF, E7302P, 16GB, E208i-a, 500W, non-HDD, 4y TC Basic</t>
  </si>
  <si>
    <t>DL325 G10+ 4LFF</t>
  </si>
  <si>
    <t>DL325 Gen10 Plus</t>
  </si>
  <si>
    <t>DL325 Gen10 Plus, 4LFF, E7232P, 16GB, E208i-a, 500W, non-HDD, 4y TC Basic</t>
  </si>
  <si>
    <t>DL325 Gen10 Plus, 4LFF, E7282, 16GB, E208i-a, 500W, non-HDD, 4y TC Basic</t>
  </si>
  <si>
    <t>DL325 G10+ 8SFF</t>
  </si>
  <si>
    <t>DL325 Gen10 Plus, 8SFF, E7232P, 16GB, E208i-a, 500W, non-HDD, 4y TC Basic</t>
  </si>
  <si>
    <t>DL325 Gen10 Plus, 8SFF, E7282, 16GB, E208i-a, 500W, non-HDD, 4y TC Basic</t>
  </si>
  <si>
    <t>MicroSvr</t>
  </si>
  <si>
    <t>MicroServer Gen10+ 4LFF</t>
  </si>
  <si>
    <t>MicroServer Gen10+ 4LFF, G5420, 8GB, 180W, 3Y TC Basic</t>
  </si>
  <si>
    <t>500.000đ/unit + CK d.số</t>
  </si>
  <si>
    <t>40$/unit</t>
  </si>
  <si>
    <t>MicroServer Gen10+ 4LFF, E-2224, 16GB, 180W, 3Y TC Basic</t>
  </si>
  <si>
    <t>MicroServer Gen10+ 4LFF, E-2224, 8GB, 180W, 3Y TC Basic</t>
  </si>
  <si>
    <t>DL20 2LFF 4Y TC</t>
  </si>
  <si>
    <t>DL20 Gen10</t>
  </si>
  <si>
    <t>DL20 Gen10 E2224, 2LFF, 16GB, 290W, Non HDD, 4y TC Basic</t>
  </si>
  <si>
    <t>DL20 Gen10 E2234, 2LFF, 16GB, 290W, Non HDD, 4y TC Basic</t>
  </si>
  <si>
    <t>DL20 4SFF 4Y TC</t>
  </si>
  <si>
    <t>DL20 Gen10 E2224, 4SFF, 16GB, 290W, Non HDD, 4y TC Basic</t>
  </si>
  <si>
    <t>DL20 Gen10 E2234, 4SFF, 16GB, 290W, Non HDD, 4y TC Basic</t>
  </si>
  <si>
    <t>ML30 Non Hot Plug 4Y TC</t>
  </si>
  <si>
    <t>ML30 Gen10</t>
  </si>
  <si>
    <r>
      <t xml:space="preserve">ML30 Gen10 </t>
    </r>
    <r>
      <rPr>
        <b/>
        <sz val="11"/>
        <color rgb="FFFF0000"/>
        <rFont val="Calibri"/>
        <family val="2"/>
        <scheme val="minor"/>
      </rPr>
      <t>Non Hot Plug</t>
    </r>
    <r>
      <rPr>
        <b/>
        <sz val="11"/>
        <color theme="1"/>
        <rFont val="Calibri"/>
        <family val="2"/>
        <scheme val="minor"/>
      </rPr>
      <t xml:space="preserve"> E-2224, 8GB, 4LFF, 1TB HDD, 350W, 4y TC Basic</t>
    </r>
  </si>
  <si>
    <t>ML30 Hot Plug 4Y TC</t>
  </si>
  <si>
    <t>ML30 Gen10 Hot Plug E-2224, 16GB, 4LFF, non-HDD, 350W, 4y TC Basic</t>
  </si>
  <si>
    <t>ML30 Gen10 Hot Plug E-2234, 16GB, 4LFF, non-HDD, 350W, 4y TC Basic</t>
  </si>
  <si>
    <t>ML30 Gen10 Hot Plug E-2236, 16GB, 4LFF, non-HDD, 350W, 4y TC Basic</t>
  </si>
  <si>
    <t>ML30 Hot Plug 4Y NBD</t>
  </si>
  <si>
    <t>ML30 Gen10 Hot Plug E-2224, 16GB, 4LFF, non-HDD,  350W, 4y NBD FC</t>
  </si>
  <si>
    <t>bán hết kho EOL</t>
  </si>
  <si>
    <t>ML30 Gen10 Hot Plug E-2234, 16GB, 4LFF, non-HDD,  350W, 4y NBD FC</t>
  </si>
  <si>
    <t>ML110 4LFF 4Y NBD</t>
  </si>
  <si>
    <t xml:space="preserve">ML110 Gen10 </t>
  </si>
  <si>
    <t>ML110 Gen10 S4208, 16GB, 4LFF, 550W, non-HDD, 4y NBD FC</t>
  </si>
  <si>
    <t>ML110 Gen10 S4210, 16GB, 4LFF, 500W, E208i-p SR, non-HDD, 4y NBD FC</t>
  </si>
  <si>
    <t>ML110 4LFF 4Y TC</t>
  </si>
  <si>
    <t>ML110 Gen10 S4208, 16GB, 4LFF, 550W, non-HDD, 4y TC Basic</t>
  </si>
  <si>
    <t>ML110 Gen10 S4210, 16GB, 4LFF, 550W, non-HDD, 4y TC Basic</t>
  </si>
  <si>
    <t>ML110 Gen10 B3204, 16GB, 4LFF, E208i-p, 550W, non-HDD, 4y TC Basic</t>
  </si>
  <si>
    <t>ML110 Gen10 S4208, 16GB, 4LFF, E208i-p, 550W, non-HDD, 4y TC Basic</t>
  </si>
  <si>
    <t>ML110 Gen10 S4210R, 16GB, 4LFF, E208i-p, 550W, non-HDD, 4y TC Basic</t>
  </si>
  <si>
    <t>ML350 8SFF 4Y NBD</t>
  </si>
  <si>
    <t>ML350 Gen10</t>
  </si>
  <si>
    <t>ML350 Gen10 S4214, 16GB, 8SFF, P408i-a SR, 500W, non-HDD, 4y NBD FC</t>
  </si>
  <si>
    <t>1.000.000đ/unit + CK d.số</t>
  </si>
  <si>
    <t>90$/unit</t>
  </si>
  <si>
    <t>ML350 4LFF 4Y TC</t>
  </si>
  <si>
    <t>ML350 Gen10 S4208, 16GB, 4LFF, P408i-a SR, 500W, non-HDD, 4y TC Basic</t>
  </si>
  <si>
    <t>ML350 Gen10 S4210, 16GB, 4LFF, P408i-a SR, 500W, non-HDD, 4y TC Basic</t>
  </si>
  <si>
    <t>ML350 Gen10 S4216, 16GB, 4LFF, P408i-a SR, 500W, non-HDD, 4y TC Basic</t>
  </si>
  <si>
    <t>ML350 8SFF 4Y TC</t>
  </si>
  <si>
    <t>ML350 Gen10 S4210, 16GB, 8SFF, P408i-a SR, 500W, non-HDD, 4y TC Basic</t>
  </si>
  <si>
    <t>ML350 Gen10 S4210, 16GB, 8SFF, E208i-a SR, 500W, non-HDD, 4y TC Basic</t>
  </si>
  <si>
    <t>ML350 Gen10 S4214, 16GB, 8SFF, P408i-a SR, 500W, non-HDD, 4y TC Basic</t>
  </si>
  <si>
    <t>ML350 Gen10 S4214, 16GB, 8SFF, E208i-a SR, 500W, non-HDD, 4y TC Basic</t>
  </si>
  <si>
    <t>DL380 8SFF 4Y TC</t>
  </si>
  <si>
    <t>DL380 Gen10</t>
  </si>
  <si>
    <t>DL380 Gen10 S4208, 16GB, 8SFF, P408i-a SR, 500W, non-HDD, 4y TC Basic</t>
  </si>
  <si>
    <t>DL380 Gen10 S4210, 16GB, 8SFF, P408i-a SR, 500W, non-HDD, 4y TC Basic</t>
  </si>
  <si>
    <t>DL380 Gen10 S4210R, 16GB, 8SFF, P408i-a SR, 500W, non-HDD, 4y TC Basic</t>
  </si>
  <si>
    <t>DL380 Gen10 S4214, 16GB, 8SFF, P408i-a SR, 500W, non-HDD, 4y TC Basic</t>
  </si>
  <si>
    <t>DL380 Gen10 S4214R, 16GB, 8SFF, P408i-a SR, 500W, non-HDD, 4y TC Basic</t>
  </si>
  <si>
    <t>DL380 Gen10 S4215, 16GB, 8SFF, P408i-a SR, 500W, non-HDD, 4y TC Basic</t>
  </si>
  <si>
    <t>DL380 Gen10 S4215R, 16GB, 8SFF, P408i-a SR, 500W, non-HDD, 4y TC Basic</t>
  </si>
  <si>
    <t>DL380 Gen10 S4216, 16GB, 8SFF, P408i-a SR, 500W, non-HDD, 4y TC Basic</t>
  </si>
  <si>
    <t>DL380 Gen10+ 8SFF 4Y TC</t>
  </si>
  <si>
    <t>DL380 Gen10 Plus</t>
  </si>
  <si>
    <t>DL380 Gen10Plus S4310, 16GB, 8SFF, P408i-a SR, 800W, non-HDD, 4y TC Basic</t>
  </si>
  <si>
    <t>DL380 8LFF 4Y TC</t>
  </si>
  <si>
    <r>
      <t xml:space="preserve">DL380 Gen10 S4210, 16GB, </t>
    </r>
    <r>
      <rPr>
        <b/>
        <sz val="11"/>
        <color rgb="FFFF0000"/>
        <rFont val="Calibri"/>
        <family val="2"/>
        <scheme val="minor"/>
      </rPr>
      <t>8LFF</t>
    </r>
    <r>
      <rPr>
        <b/>
        <sz val="11"/>
        <color theme="1"/>
        <rFont val="Calibri"/>
        <family val="2"/>
        <scheme val="minor"/>
      </rPr>
      <t>, P408i-a SR, 500W, non-HDD, 4y TC Basic</t>
    </r>
  </si>
  <si>
    <r>
      <t xml:space="preserve">DL380 Gen10 S4210R, 16GB, </t>
    </r>
    <r>
      <rPr>
        <b/>
        <sz val="11"/>
        <color rgb="FFFF0000"/>
        <rFont val="Calibri"/>
        <family val="2"/>
        <scheme val="minor"/>
      </rPr>
      <t>8LFF</t>
    </r>
    <r>
      <rPr>
        <b/>
        <sz val="11"/>
        <color theme="1"/>
        <rFont val="Calibri"/>
        <family val="2"/>
        <scheme val="minor"/>
      </rPr>
      <t>, P408i-a SR, 500W, non-HDD, 4y TC Basic</t>
    </r>
  </si>
  <si>
    <t>DL380 12LFF 4Y TC</t>
  </si>
  <si>
    <r>
      <t xml:space="preserve">DL380 Gen10 S4210R, 16GB, </t>
    </r>
    <r>
      <rPr>
        <b/>
        <sz val="11"/>
        <color rgb="FFFF0000"/>
        <rFont val="Calibri"/>
        <family val="2"/>
        <scheme val="minor"/>
      </rPr>
      <t>12LFF</t>
    </r>
    <r>
      <rPr>
        <b/>
        <sz val="11"/>
        <color theme="1"/>
        <rFont val="Calibri"/>
        <family val="2"/>
        <scheme val="minor"/>
      </rPr>
      <t>, P816i-a SR, 500W, non-HDD, 4y TC Basic</t>
    </r>
  </si>
  <si>
    <t>DL380 24SFF 4Y TC</t>
  </si>
  <si>
    <r>
      <t xml:space="preserve">DL380 Gen10 S4210R, 16GB, </t>
    </r>
    <r>
      <rPr>
        <b/>
        <sz val="11"/>
        <color rgb="FFFF0000"/>
        <rFont val="Calibri"/>
        <family val="2"/>
        <scheme val="minor"/>
      </rPr>
      <t>24SFF</t>
    </r>
    <r>
      <rPr>
        <b/>
        <sz val="11"/>
        <color theme="1"/>
        <rFont val="Calibri"/>
        <family val="2"/>
        <scheme val="minor"/>
      </rPr>
      <t>, P816i-a SR, 500W, non-HDD, 4y TC Basic</t>
    </r>
  </si>
  <si>
    <t>DL380 Gen10+ 8LFF 4Y TC</t>
  </si>
  <si>
    <r>
      <t xml:space="preserve">DL380 Gen10Plus S4310, 16GB, </t>
    </r>
    <r>
      <rPr>
        <b/>
        <sz val="11"/>
        <color rgb="FFFF0000"/>
        <rFont val="Calibri"/>
        <family val="2"/>
        <scheme val="minor"/>
      </rPr>
      <t>8LFF</t>
    </r>
    <r>
      <rPr>
        <b/>
        <sz val="11"/>
        <color theme="1"/>
        <rFont val="Calibri"/>
        <family val="2"/>
        <scheme val="minor"/>
      </rPr>
      <t>, P408i-a SR, 800W, non-HDD, 4y TC Basic</t>
    </r>
  </si>
  <si>
    <t>DL360 8SFF 4Y NBD</t>
  </si>
  <si>
    <t>DL360 Gen10</t>
  </si>
  <si>
    <t>DL360 Gen10 S4214R, 16GB, 8SFF, P408i-a SR, 500W, non-HDD, 4y NBD FC</t>
  </si>
  <si>
    <t>bán hết EOL</t>
  </si>
  <si>
    <t>DL360 8SFF 4Y TC</t>
  </si>
  <si>
    <t>DL360 Gen10 S4208, 16GB, 8SFF, P408i-a SR, 500W, non-HDD, 4y TC Basic</t>
  </si>
  <si>
    <t>DL360 Gen10 S4210, 16GB, 8SFF, P408i-a SR, 500W, non-HDD, 4y TC Basic</t>
  </si>
  <si>
    <t>DL360 Gen10 S4210R, 16GB, 8SFF, P408i-a SR, 500W, non-HDD, 4y TC Basic</t>
  </si>
  <si>
    <t>DL360 Gen10 S4214, 16GB, 8SFF, P408i-a SR, 500W, non-HDD, 4y TC Basic</t>
  </si>
  <si>
    <t>DL360 Gen10 S4214R, 16GB, 8SFF, P408i-a SR, 500W, non-HDD, 4y TC Basic</t>
  </si>
  <si>
    <t>DL360 Gen10 S4215, 16GB, 8SFF, P408i-a SR, 500W, non-HDD, 4y TC Basic</t>
  </si>
  <si>
    <t>DL360 Gen10 S4215R, 16GB, 8SFF, P408i-a SR, 500W, non-HDD, 4y TC Basic</t>
  </si>
  <si>
    <t>DL360 Gen10 S4216, 16GB, 8SFF, P408i-a SR, 500W, non-HDD, 4y TC Basic</t>
  </si>
  <si>
    <t>DL360 Gen10+ 8SFF 4Y TC</t>
  </si>
  <si>
    <t>DL360 Gen10Plus</t>
  </si>
  <si>
    <t>DL360 Gen10Plus S4310, 16GB, 8SFF, P408i-a SR, 800W, non-HDD, 4y TC Basic</t>
  </si>
  <si>
    <t>Item code</t>
  </si>
  <si>
    <t>Note</t>
  </si>
  <si>
    <t>Giá EU</t>
  </si>
  <si>
    <r>
      <rPr>
        <b/>
        <sz val="14"/>
        <rFont val="Times New Roman"/>
        <family val="1"/>
      </rPr>
      <t>Giá Dealer</t>
    </r>
    <r>
      <rPr>
        <sz val="14"/>
        <rFont val="Times New Roman"/>
        <family val="1"/>
      </rPr>
      <t xml:space="preserve">
</t>
    </r>
    <r>
      <rPr>
        <sz val="10"/>
        <rFont val="Times New Roman"/>
        <family val="1"/>
      </rPr>
      <t xml:space="preserve">(Full VAT) </t>
    </r>
  </si>
  <si>
    <t>GHI CHÚ</t>
  </si>
  <si>
    <t>UDIMM</t>
  </si>
  <si>
    <r>
      <rPr>
        <b/>
        <sz val="12"/>
        <rFont val="Times New Roman"/>
        <family val="1"/>
      </rPr>
      <t xml:space="preserve">Dell 8GB </t>
    </r>
    <r>
      <rPr>
        <sz val="12"/>
        <rFont val="Times New Roman"/>
        <family val="1"/>
      </rPr>
      <t xml:space="preserve">- 1RX8 DDR4 UDIMM 2666MHz ECC </t>
    </r>
  </si>
  <si>
    <t>1SK</t>
  </si>
  <si>
    <r>
      <rPr>
        <b/>
        <sz val="12"/>
        <rFont val="Times New Roman"/>
        <family val="1"/>
      </rPr>
      <t>Dell 16GB</t>
    </r>
    <r>
      <rPr>
        <sz val="12"/>
        <rFont val="Times New Roman"/>
        <family val="1"/>
      </rPr>
      <t xml:space="preserve"> - 2RX8 DDR4 UDIMM 2666MHz ECC</t>
    </r>
  </si>
  <si>
    <t>RDIMM</t>
  </si>
  <si>
    <r>
      <rPr>
        <b/>
        <sz val="12"/>
        <rFont val="Times New Roman"/>
        <family val="1"/>
      </rPr>
      <t>Dell 16GB</t>
    </r>
    <r>
      <rPr>
        <sz val="12"/>
        <rFont val="Times New Roman"/>
        <family val="1"/>
      </rPr>
      <t xml:space="preserve"> - 2RX8 DDR4 RDIMM 3200MHz </t>
    </r>
  </si>
  <si>
    <t>2SK</t>
  </si>
  <si>
    <r>
      <t>HDD - 13G &amp; Tower</t>
    </r>
    <r>
      <rPr>
        <sz val="16"/>
        <rFont val="Times New Roman"/>
        <family val="1"/>
      </rPr>
      <t xml:space="preserve"> (T30, T140, T340, T440, T640) | </t>
    </r>
    <r>
      <rPr>
        <b/>
        <sz val="16"/>
        <rFont val="Times New Roman"/>
        <family val="1"/>
      </rPr>
      <t>14G</t>
    </r>
    <r>
      <rPr>
        <sz val="16"/>
        <rFont val="Times New Roman"/>
        <family val="1"/>
      </rPr>
      <t xml:space="preserve"> (R240, R340, R440, R540, R640, R740, R740XD)</t>
    </r>
  </si>
  <si>
    <t>SATA</t>
  </si>
  <si>
    <r>
      <rPr>
        <b/>
        <sz val="12"/>
        <rFont val="Times New Roman"/>
        <family val="1"/>
      </rPr>
      <t>1TB 7.2K RPM SATA</t>
    </r>
    <r>
      <rPr>
        <sz val="12"/>
        <rFont val="Times New Roman"/>
        <family val="1"/>
      </rPr>
      <t xml:space="preserve"> 6Gbps 512n 3.5in Cabled Hard Drive, CK</t>
    </r>
    <r>
      <rPr>
        <b/>
        <sz val="12"/>
        <rFont val="Times New Roman"/>
        <family val="1"/>
      </rPr>
      <t xml:space="preserve"> (dùng cho T40: gồm 1TB + tray nhựa + Cable Sata)</t>
    </r>
  </si>
  <si>
    <t>T40</t>
  </si>
  <si>
    <r>
      <rPr>
        <b/>
        <sz val="12"/>
        <rFont val="Times New Roman"/>
        <family val="1"/>
      </rPr>
      <t>1TB 7.2K RPM SATA</t>
    </r>
    <r>
      <rPr>
        <sz val="12"/>
        <rFont val="Times New Roman"/>
        <family val="1"/>
      </rPr>
      <t xml:space="preserve"> 6Gbps 512n 3.5in Hot-plug Hard Drive, CK    </t>
    </r>
  </si>
  <si>
    <t>13G</t>
  </si>
  <si>
    <r>
      <rPr>
        <b/>
        <sz val="12"/>
        <rFont val="Times New Roman"/>
        <family val="1"/>
      </rPr>
      <t>1TB 7.2K RPM SATA</t>
    </r>
    <r>
      <rPr>
        <sz val="12"/>
        <rFont val="Times New Roman"/>
        <family val="1"/>
      </rPr>
      <t xml:space="preserve"> 6Gbps 512n 3.5in Hot-plug Hard Drive, CK </t>
    </r>
  </si>
  <si>
    <t>14G</t>
  </si>
  <si>
    <r>
      <rPr>
        <b/>
        <sz val="12"/>
        <rFont val="Times New Roman"/>
        <family val="1"/>
      </rPr>
      <t>2TB 7.2K RPM SATA</t>
    </r>
    <r>
      <rPr>
        <sz val="12"/>
        <rFont val="Times New Roman"/>
        <family val="1"/>
      </rPr>
      <t xml:space="preserve"> 6Gbps 512n 3.5in Hot-plug Hard Drive, CK    </t>
    </r>
  </si>
  <si>
    <t>SAS</t>
  </si>
  <si>
    <r>
      <rPr>
        <b/>
        <sz val="12"/>
        <rFont val="Times New Roman"/>
        <family val="1"/>
      </rPr>
      <t>600GB 10K RPM SAS</t>
    </r>
    <r>
      <rPr>
        <sz val="12"/>
        <rFont val="Times New Roman"/>
        <family val="1"/>
      </rPr>
      <t xml:space="preserve"> 2.5in Hot-plug Hard Drive,3.5in HYB CARR,CusKit</t>
    </r>
  </si>
  <si>
    <r>
      <rPr>
        <b/>
        <sz val="12"/>
        <rFont val="Times New Roman"/>
        <family val="1"/>
      </rPr>
      <t>600GB 10K RPM SAS</t>
    </r>
    <r>
      <rPr>
        <sz val="12"/>
        <rFont val="Times New Roman"/>
        <family val="1"/>
      </rPr>
      <t xml:space="preserve"> 12Gbps 512n 2.5in Hot-plug Hard Drive, CK    </t>
    </r>
  </si>
  <si>
    <r>
      <t xml:space="preserve">1.2TB 10K RPM SAS </t>
    </r>
    <r>
      <rPr>
        <sz val="12"/>
        <rFont val="Times New Roman"/>
        <family val="1"/>
      </rPr>
      <t>12Gbps 512n 2.5in Hot-plug Hard Drive, CK</t>
    </r>
  </si>
  <si>
    <t>NLSAS</t>
  </si>
  <si>
    <r>
      <rPr>
        <b/>
        <sz val="12"/>
        <rFont val="Times New Roman"/>
        <family val="1"/>
      </rPr>
      <t>2TB 7.2K RPM NLSAS</t>
    </r>
    <r>
      <rPr>
        <sz val="12"/>
        <rFont val="Times New Roman"/>
        <family val="1"/>
      </rPr>
      <t xml:space="preserve"> 12Gbps 512n 3.5in Hot-Plug Hard Drive, CK    </t>
    </r>
  </si>
  <si>
    <t>PSU</t>
  </si>
  <si>
    <t>Power Supply &amp; cable</t>
  </si>
  <si>
    <t>Single, Hot-Plug, Power Supply (1+0), 600W, CusKit    </t>
  </si>
  <si>
    <t>CPU</t>
  </si>
  <si>
    <t>HEAT SINK &amp; FAN</t>
  </si>
  <si>
    <t>Standard Fan for R640,CK</t>
  </si>
  <si>
    <t>Heat sink for PowerEdge R640 for CPUs up to 165W,CK</t>
  </si>
  <si>
    <t>iDRAC</t>
  </si>
  <si>
    <t>iDRAC9 Enterprise</t>
  </si>
  <si>
    <t xml:space="preserve">iDRAC9 Enterprise,Perpetual,Digital License,All Poweredge Platforms,CusKit </t>
  </si>
  <si>
    <t xml:space="preserve">ISDM and Combo Card Reader, CK </t>
  </si>
  <si>
    <t xml:space="preserve">16GB vFlash SD Card, Customer Install </t>
  </si>
  <si>
    <t>Chúng loại</t>
  </si>
  <si>
    <t>Partnumber</t>
  </si>
  <si>
    <t>Description</t>
  </si>
  <si>
    <t>Enduser</t>
  </si>
  <si>
    <t>Dealer</t>
  </si>
  <si>
    <t>MSA Options</t>
  </si>
  <si>
    <t>Software</t>
  </si>
  <si>
    <t>R2C33A</t>
  </si>
  <si>
    <t>HPE MSA 2060 Advanced Data Services LTU</t>
  </si>
  <si>
    <t>R2C33AAE</t>
  </si>
  <si>
    <t>HPE MSA 2060 Advanced Data Services E-LTU</t>
  </si>
  <si>
    <t>Khay đĩa mở rộng</t>
  </si>
  <si>
    <t>R0Q39A</t>
  </si>
  <si>
    <t>HPE MSA 2060 SAS 12G 2U 12-disk LFF Drive Enclosure</t>
  </si>
  <si>
    <t>LFF</t>
  </si>
  <si>
    <t>R0Q40A</t>
  </si>
  <si>
    <t>HPE MSA 2060 SAS 12G 2U 24-disk SFF Drive Enclosure</t>
  </si>
  <si>
    <t>SFF</t>
  </si>
  <si>
    <t>HDD</t>
  </si>
  <si>
    <t>R0Q53A</t>
  </si>
  <si>
    <t>HPE MSA 900GB SAS 12G Enterprise 15K SFF (2.5in) M2 3yr Wty HDD</t>
  </si>
  <si>
    <t>R0Q54A</t>
  </si>
  <si>
    <t>HPE MSA 600GB SAS 12G Enterprise 10K SFF (2.5in) M2 3yr Wty HDD</t>
  </si>
  <si>
    <t>R0Q55A</t>
  </si>
  <si>
    <t>HPE MSA 1.2TB SAS 12G Enterprise 10K SFF (2.5in) M2 3yr Wty HDD</t>
  </si>
  <si>
    <t>J9F48A</t>
  </si>
  <si>
    <t>HPE MSA 1.2TB 12G SAS 10K SFF(2.5in) Dual Port Enterprise 3yr Warranty Hard Drive</t>
  </si>
  <si>
    <t>R0Q56A</t>
  </si>
  <si>
    <t>HPE MSA 1.8TB SAS 12G Enterprise 10K SFF (2.5in) M2 3yr Wty HDD</t>
  </si>
  <si>
    <t>J9F49A</t>
  </si>
  <si>
    <t>HPE MSA 1.8TB 12G SAS 10K 2.5in 512e HDD</t>
  </si>
  <si>
    <t>R0Q57A</t>
  </si>
  <si>
    <t>HPE MSA 2.4TB SAS 12G Enterprise 10K SFF (2.5in) M2 3yr Wty HDD</t>
  </si>
  <si>
    <t>R0Q58A</t>
  </si>
  <si>
    <t>HPE MSA 6TB SAS 12G Midline 7.2K LFF (3.5in) M2 1yr Wty HDD</t>
  </si>
  <si>
    <t>R0Q59A</t>
  </si>
  <si>
    <t>HPE MSA 8TB SAS 12G Midline 7.2K LFF (3.5in) M2 1yr Wty HDD</t>
  </si>
  <si>
    <t>R0Q60A</t>
  </si>
  <si>
    <t>HPE MSA 10TB SAS 12G Midline 7.2K LFF (3.5in) M2 1yr Wty HDD</t>
  </si>
  <si>
    <t>R0Q61A</t>
  </si>
  <si>
    <t>HPE MSA 12TB SAS 12G Midline 7.2K LFF (3.5in) M2 1yr Wty HDD</t>
  </si>
  <si>
    <t>R0Q62A</t>
  </si>
  <si>
    <t>HPE MSA 14TB SAS 12G Midline 7.2K LFF (3.5in) M2 1yr Wty HDD</t>
  </si>
  <si>
    <t>R3U72A</t>
  </si>
  <si>
    <t>HPE MSA 16TB SAS 12G Midline 7.2K LFF (3.5in) M2 1yr Wty HDD</t>
  </si>
  <si>
    <t>SSD</t>
  </si>
  <si>
    <t>R0Q46A</t>
  </si>
  <si>
    <t>HPE MSA 960GB SAS 12G Read Intensive SFF (2.5in) M2 3yr Wty SSD</t>
  </si>
  <si>
    <t>N9X91A</t>
  </si>
  <si>
    <t>HPE MSA 1.6TB 12G SAS Mixed Use SFF (2.5in) 3yr Warranty Solid State Drive</t>
  </si>
  <si>
    <t>R0Q47A</t>
  </si>
  <si>
    <t>HPE MSA 1.92TB SAS 12G Read Intensive SFF (2.5in) M2 3yr Wty SSD</t>
  </si>
  <si>
    <t>R0Q37A</t>
  </si>
  <si>
    <t>HPE MSA 1.92TB SAS 12G Read Intensive SFF (2.5in) 3yr Wty SSD</t>
  </si>
  <si>
    <t>R3R30A</t>
  </si>
  <si>
    <t>HPE MSA 3.84TB SAS 12G Read Intensive SFF (2.5in) M2 3yr Wty SSD</t>
  </si>
  <si>
    <t>R0Q49A</t>
  </si>
  <si>
    <t>HPE MSA 1.92TB SAS 12G Read Intensive LFF (3.5in) M2 3yr Wty SSD</t>
  </si>
  <si>
    <t>Tranceiver</t>
  </si>
  <si>
    <t>C8R24B</t>
  </si>
  <si>
    <t>HPE MSA 16Gb Short Wave Fibre Channel SFP+ 4-pack Transceiver</t>
  </si>
  <si>
    <t>C8R25B</t>
  </si>
  <si>
    <t>HPE MSA 10Gb Short Range iSCSI SFP+ 4-pack Transceiver</t>
  </si>
  <si>
    <t>Cable</t>
  </si>
  <si>
    <t>AJ833A</t>
  </si>
  <si>
    <t>HPE LC to LC Multi-mode OM3 2-Fiber 0.5m 1-Pack Fiber Optic Cable</t>
  </si>
  <si>
    <t>OM3</t>
  </si>
  <si>
    <t>AJ834A</t>
  </si>
  <si>
    <t>HPE LC to LC Multi-mode OM3 2-Fiber 1.0m 1-Pack Fiber Optic Cable</t>
  </si>
  <si>
    <t>AJ835A</t>
  </si>
  <si>
    <t>HPE LC to LC Multi-mode OM3 2-Fiber 2.0m 1-Pack Fiber Optic Cable</t>
  </si>
  <si>
    <t>AJ836A</t>
  </si>
  <si>
    <t>HPE LC to LC Multi-mode OM3 2-Fiber 5.0m 1-Pack Fiber Optic Cable</t>
  </si>
  <si>
    <t>AJ837A</t>
  </si>
  <si>
    <t>HPE LC to LC Multi-mode OM3 2-Fiber 15.0m 1-Pack Fiber Optic Cable</t>
  </si>
  <si>
    <t>AJ838A</t>
  </si>
  <si>
    <t>HPE LC to LC Multi-mode OM3 2-Fiber 30.0m 1-Pack Fiber Optic Cable</t>
  </si>
  <si>
    <t>AJ839A</t>
  </si>
  <si>
    <t>HPE LC to LC Multi-mode OM3 2-Fiber 50.0m 1-Pack Fiber Optic Cable</t>
  </si>
  <si>
    <t>QK732A</t>
  </si>
  <si>
    <t>HPE Premier Flex LC/LC Multi-mode OM4 2 fiber 1m Cable</t>
  </si>
  <si>
    <t>OM4</t>
  </si>
  <si>
    <t>QK733A</t>
  </si>
  <si>
    <t>HPE Premier Flex LC/LC Multi-mode OM4 2 fiber 2m Cable</t>
  </si>
  <si>
    <t>QK734A</t>
  </si>
  <si>
    <t>HPE Premier Flex LC/LC Multi-mode OM4 2 fiber 5m Cable</t>
  </si>
  <si>
    <t>QK735A</t>
  </si>
  <si>
    <t>HPE Premier Flex LC/LC Multi-mode OM4 2 fiber 15m Cable</t>
  </si>
  <si>
    <t>QK736A</t>
  </si>
  <si>
    <t>HPE Premier Flex LC/LC Multi-mode OM4 2 fiber 30m Cable</t>
  </si>
  <si>
    <t>QK737A</t>
  </si>
  <si>
    <t>HPE Premier Flex LC/LC Multi-mode OM4 2 fiber 50m Cable</t>
  </si>
  <si>
    <t>716189-B21</t>
  </si>
  <si>
    <t>HPE 1.0m External Mini SAS High Density to Mini SAS Cable</t>
  </si>
  <si>
    <t>716191-B21</t>
  </si>
  <si>
    <t>HPE 2.0m External Mini SAS High Density to Mini SAS Cable</t>
  </si>
  <si>
    <t>716193-B21</t>
  </si>
  <si>
    <t>HPE 4.0m External Mini SAS High Density to Mini SAS Cable</t>
  </si>
  <si>
    <t>716195-B21</t>
  </si>
  <si>
    <t>HPE External 1.0m (3ft) Mini-SAS HD 4x to Mini-SAS HD 4x Cable</t>
  </si>
  <si>
    <t>716197-B21</t>
  </si>
  <si>
    <t>HPE External 2.0m (6ft) Mini-SAS HD 4x to Mini-SAS HD 4x Cable</t>
  </si>
  <si>
    <t>716199-B21</t>
  </si>
  <si>
    <t>HPE External 4.0m (13ft) Mini-SAS HD 4x to Mini-SAS HD 4x Cable</t>
  </si>
  <si>
    <t>MSA Services</t>
  </si>
  <si>
    <t>HPE 4Y TC Essential SVC</t>
  </si>
  <si>
    <t>HU4A6A4   ZQA</t>
  </si>
  <si>
    <t>HPE MSA 2060 Support</t>
  </si>
  <si>
    <t>HU4A6A4   ZQD</t>
  </si>
  <si>
    <t>HPE MSA 1060 Support</t>
  </si>
  <si>
    <t>HPE 5Y TC Essential SVC</t>
  </si>
  <si>
    <t>HU4A6A5    ZQA</t>
  </si>
  <si>
    <t>HU4A6A5    ZQD</t>
  </si>
  <si>
    <t>HPE 3Y TC Essential SVC</t>
  </si>
  <si>
    <t>HU4A6A3    ZQA</t>
  </si>
  <si>
    <t>HU4A6A3    ZQD</t>
  </si>
  <si>
    <t>HPE 4Y Tech Care Critical Service</t>
  </si>
  <si>
    <t>H7J34A4     ZQA</t>
  </si>
  <si>
    <t xml:space="preserve"> </t>
  </si>
  <si>
    <t>H7J34A4     ZQD</t>
  </si>
  <si>
    <t>HPE 5Y Tech Care Critical Service</t>
  </si>
  <si>
    <t>H7J34A5     ZQA</t>
  </si>
  <si>
    <t>H7J34A5     ZQD</t>
  </si>
  <si>
    <t>HPE 3Y Tech Care Critical Service</t>
  </si>
  <si>
    <t>H1K90A3     ZQA</t>
  </si>
  <si>
    <t>H1K90A3     ZQD</t>
  </si>
  <si>
    <t>TAPE OPTIONS</t>
  </si>
  <si>
    <t>Tape Cartridge</t>
  </si>
  <si>
    <t>Q2009A</t>
  </si>
  <si>
    <t>HPE LTO-4 Ultrium Read/Write Bar Code Label Pack</t>
  </si>
  <si>
    <t>Q2011A</t>
  </si>
  <si>
    <t>HPE LTO-5 Ultrium RW Bar Code Label Pack</t>
  </si>
  <si>
    <t>Q2012A</t>
  </si>
  <si>
    <t>HP LTO-5 Ultrium WORM Barcode Label</t>
  </si>
  <si>
    <t>Q2013A</t>
  </si>
  <si>
    <t>HPE LTO-6 Ultrium RW Bar Code Label Pack</t>
  </si>
  <si>
    <t>Q2014A</t>
  </si>
  <si>
    <t>HPE LTO-7 Ultrium RW Bar Code Label Pack</t>
  </si>
  <si>
    <t>Q2015A</t>
  </si>
  <si>
    <t>HPE LTO-8 Ultrium RW Bar Code Label Pack</t>
  </si>
  <si>
    <t>C7974A</t>
  </si>
  <si>
    <t>HPE LTO4 Ultrium 1.6TB Read/Write Data Cartridge</t>
  </si>
  <si>
    <t>C7975A</t>
  </si>
  <si>
    <t>HPE LTO-5 Ultrium 3TB RW Data Cartridge</t>
  </si>
  <si>
    <t>C7976A</t>
  </si>
  <si>
    <t>HPE LTO-6 Ultrium 6.25TB MP RW Data Cartridge</t>
  </si>
  <si>
    <t>C7977A</t>
  </si>
  <si>
    <t>HPE LTO-7 Ultrium 15TB RW Data Cartridge</t>
  </si>
  <si>
    <t>Q2078A</t>
  </si>
  <si>
    <t>HPE LTO-8 Ultrium 30TB RW Data Cartridge</t>
  </si>
  <si>
    <t>C7978A</t>
  </si>
  <si>
    <t>HPE Ultrium Universal Cleaning Cartridge</t>
  </si>
  <si>
    <t>C7976AN</t>
  </si>
  <si>
    <t>HPE LTO-6 Ultrium 6.25TB MP RW Non Custom Labeled Data Cartridge 20 Pack</t>
  </si>
  <si>
    <t>C7977AN</t>
  </si>
  <si>
    <t>HPE LTO-7 Ultrium Non Custom Labeled Data Cartridge 20 Pack</t>
  </si>
  <si>
    <t>Q2078AN</t>
  </si>
  <si>
    <t>HPE LTO-8 Ultrium 30TB RW Non Custom Labeled Library Pack 20 Data Cartridges with Cases</t>
  </si>
  <si>
    <t>Tape Drives</t>
  </si>
  <si>
    <t>C0H27A</t>
  </si>
  <si>
    <t>HPE StoreEver MSL LTO-6 Ultrium 6250 SAS Drive Upgrade Kit</t>
  </si>
  <si>
    <t>C0H28A</t>
  </si>
  <si>
    <t>HPE StoreEver MSL LTO-6 Ultrium 6250 Fibre Channel Drive Upgrade Kit</t>
  </si>
  <si>
    <t>N7P36A</t>
  </si>
  <si>
    <t>HPE StoreEver MSL LTO-7 Ultrium 15000 FC Drive Upgrade Kit</t>
  </si>
  <si>
    <t>N7P37A</t>
  </si>
  <si>
    <t>HPE StoreEver MSL LTO-7 Ultrium 15000 SAS Drive Upgrade Kit</t>
  </si>
  <si>
    <t>Q6Q67A</t>
  </si>
  <si>
    <t>HPE StoreEver MSL LTO-8 Ultrium 30750 FC Drive Upgrade Kit</t>
  </si>
  <si>
    <t>Q6Q68A</t>
  </si>
  <si>
    <t>HPE StoreEver MSL LTO-8 Ultrium 30750 SAS Drive Upgrade Kit</t>
  </si>
  <si>
    <t>BC023A</t>
  </si>
  <si>
    <t>HPE StoreEver LTO-8 Ultrium 30750 External Tape Drive (BC023A)</t>
  </si>
  <si>
    <t>License E-LTU</t>
  </si>
  <si>
    <t>TC406AAE</t>
  </si>
  <si>
    <t>HPE StoreEver MSL TapeAssure Advanced E-LTU</t>
  </si>
  <si>
    <t>TC407AAE</t>
  </si>
  <si>
    <t>HPE StoreEver Autoloader TapeAssure Advanced E-LTU</t>
  </si>
  <si>
    <t>TC468AAE</t>
  </si>
  <si>
    <t>HPE StoreEver MSL2024 KMIP Encryption E-LTU</t>
  </si>
  <si>
    <t>Tape Services</t>
  </si>
  <si>
    <t>HU4A6A4     450</t>
  </si>
  <si>
    <t>HPE DLT/LTO Tape Drives Support</t>
  </si>
  <si>
    <t>HU4A6A4     SQD</t>
  </si>
  <si>
    <t>HPE LTO-7 External Tape Drive Support</t>
  </si>
  <si>
    <t>HU4A6A4     YJZ</t>
  </si>
  <si>
    <t>HPE LTO-8 External Tape Drive Support</t>
  </si>
  <si>
    <t>HU4A6A4     Y61</t>
  </si>
  <si>
    <t>HPE MSL G2 AL Support</t>
  </si>
  <si>
    <t>HU4A6A4     80N</t>
  </si>
  <si>
    <t>HPE MSL2024 Library Support</t>
  </si>
  <si>
    <t>HU4A6A5     450</t>
  </si>
  <si>
    <t>HU4A6A5     SQD</t>
  </si>
  <si>
    <t>HU4A6A5     YJZ</t>
  </si>
  <si>
    <t>HU4A6A5     Y61</t>
  </si>
  <si>
    <t>HU4A6A5     80N</t>
  </si>
  <si>
    <t>HU4A6A3     450</t>
  </si>
  <si>
    <t>HU4A6A3     SQD</t>
  </si>
  <si>
    <t>HU4A6A3     YJZ</t>
  </si>
  <si>
    <t>HU4A6A3    Y61</t>
  </si>
  <si>
    <t>HU4A6A3     80N</t>
  </si>
  <si>
    <t>HU4A3A4      450</t>
  </si>
  <si>
    <t>HU4A3A4      SQD</t>
  </si>
  <si>
    <t>HU4A3A4      YJZ</t>
  </si>
  <si>
    <t>HU4A3A4      Y61</t>
  </si>
  <si>
    <t>HU4A3A4      80N</t>
  </si>
  <si>
    <t>HU4A3A5     450</t>
  </si>
  <si>
    <t>HU4A3A5     SQD</t>
  </si>
  <si>
    <t>HU4A3A5     YJZ</t>
  </si>
  <si>
    <t>HU4A3A5     Y61</t>
  </si>
  <si>
    <t>HU4A3A5    80N</t>
  </si>
  <si>
    <t>HU4A3A3     450</t>
  </si>
  <si>
    <t>HU4A3A3     SQD</t>
  </si>
  <si>
    <t>HU4A3A3    YJZ</t>
  </si>
  <si>
    <t>HU4A3A3     Y61</t>
  </si>
  <si>
    <t>HU4A3A3    80N</t>
  </si>
  <si>
    <t>STORE EASY OPTIONS</t>
  </si>
  <si>
    <t>Spare Part</t>
  </si>
  <si>
    <t>P02489-B21</t>
  </si>
  <si>
    <t>Intel Xeon-Bronze 3204 (1.9GHz/6-core/85W) Processor Kit for HPE ProLiant DL380 Gen10</t>
  </si>
  <si>
    <t>Add thêm CPU</t>
  </si>
  <si>
    <t>P00922-K21</t>
  </si>
  <si>
    <t>HPE 16GB (1x16GB) Dual Rank x8 DDR4-2933 CAS-21-21-21 Registered Smart Memory Kit</t>
  </si>
  <si>
    <t xml:space="preserve">Add thêm RAM </t>
  </si>
  <si>
    <t>Q2P93A</t>
  </si>
  <si>
    <t>HPE StoreEasy 1660 4LFF Midplane Drive Cage</t>
  </si>
  <si>
    <t>Cage để add thêm ổ cứng cho StoreEasy 1660, max 4 ổ</t>
  </si>
  <si>
    <t>870548-B21</t>
  </si>
  <si>
    <t>HPE DL Gen10 x8/x16/x8 Riser Kit</t>
  </si>
  <si>
    <t>Card mở rộng slot PCI</t>
  </si>
  <si>
    <t>804398-B21</t>
  </si>
  <si>
    <t>HPE Smart Array E208e-p SR Gen10 (8 External Lanes/No Cache) 12G SAS PCIe Plug-in Controller</t>
  </si>
  <si>
    <t>Card Raid controller P408e</t>
  </si>
  <si>
    <t>804405-B21</t>
  </si>
  <si>
    <t>HPE Smart Array P408e-p SR Gen10 (8 External Lanes/4GB Cache) 12G SAS PCIe Plug-in Controller</t>
  </si>
  <si>
    <t>615732-B21</t>
  </si>
  <si>
    <t>HPE Ethernet 1Gb 2-port BASE-T BCM5720 Adapter</t>
  </si>
  <si>
    <t>Card mạng mở rộng 1GbE</t>
  </si>
  <si>
    <t>Q2P91A</t>
  </si>
  <si>
    <t>HPE StoreEasy 10GbE 2-port 530T Adapter</t>
  </si>
  <si>
    <t>Card mạng mở rộng 10GbE SFP+</t>
  </si>
  <si>
    <t>Q2P92A</t>
  </si>
  <si>
    <t>HPE StoreEasy 10GbE 2-port 530SFP+ Adapter</t>
  </si>
  <si>
    <t>Card mạng mở rộng 10GbE Base-T (cáp đồng)</t>
  </si>
  <si>
    <t>733664-B21</t>
  </si>
  <si>
    <t>HPE 2U Cable Management Arm for Easy Install Rail Kit</t>
  </si>
  <si>
    <t>Quản lý cáp</t>
  </si>
  <si>
    <t>864279-B21</t>
  </si>
  <si>
    <t>HPE Trusted Platform Module 2.0 Gen10 Option</t>
  </si>
  <si>
    <t>Tuỳ chọn bảo mật TPM</t>
  </si>
  <si>
    <t>Q2F26AAE</t>
  </si>
  <si>
    <t>HPE Smart Array SR Secure Encryption (Data at Rest Encryption/per Server Entitlement) E-LTU</t>
  </si>
  <si>
    <t>Phần mềm mã hoá Smart Array</t>
  </si>
  <si>
    <t>Q2P95B</t>
  </si>
  <si>
    <t>HPE StoreEasy 1X60 Recovery Software Media Kit</t>
  </si>
  <si>
    <t>Bổ phần mềm phục hồi của StoreEasy 1660</t>
  </si>
  <si>
    <t>819201-K21</t>
  </si>
  <si>
    <t>HPE 8TB SAS 12G Midline 7.2K LFF (3.5in) SC 1yr Wty 512e Digitally Signed Firmware HDD</t>
  </si>
  <si>
    <t>819203-K21</t>
  </si>
  <si>
    <t>HPE 8TB SATA 7.2K LFF SC 512e DS HDD</t>
  </si>
  <si>
    <t>857644-K21</t>
  </si>
  <si>
    <t>HPE 10TB SAS 12G Midline 7.2K LFF (3.5in) SC 1yr Wty Helium 512e Digitally Signed Firmware HDD</t>
  </si>
  <si>
    <t>861750-K21</t>
  </si>
  <si>
    <t>HPE 6TB SATA 6G Midline 7.2K LFF (3.5in) SC 1yr Wty 512e HDD</t>
  </si>
  <si>
    <t>872487-K21</t>
  </si>
  <si>
    <t>HPE 4TB SAS 12G Midline 7.2K LFF (3.5in) SC 1yr Wty Digitally Signed Firmware HDD</t>
  </si>
  <si>
    <t>872491-K21</t>
  </si>
  <si>
    <t>HPE 4TB SATA 6G Midline 7.2K LFF (3.5in) SC 1yr Wty Digitally Signed Firmware HDD</t>
  </si>
  <si>
    <t>881779-K21</t>
  </si>
  <si>
    <t>HPE 12TB SAS 12G Midline 7.2K LFF (3.5in) SC 1yr Wty Helium 512e Digitally Signed Firmware HDD</t>
  </si>
  <si>
    <t>881785-K21</t>
  </si>
  <si>
    <t>HPE 12TB SATA 6G Midline 7.2K LFF (3.5in) SC 1yr Wty Helium 512e Digitally Signed Firmware HDD</t>
  </si>
  <si>
    <t>P09153-K21</t>
  </si>
  <si>
    <t>HPE 14TB SAS 12G Business Critical 7.2K LFF (3.5in) SC 1yr Wty Helium 512e HDD</t>
  </si>
  <si>
    <t>P09163-K21</t>
  </si>
  <si>
    <t>HPE 14TB SATA 6G Business Critical 7.2K LFF (3.5in) SC 1yr Wty Helium 512e HDD</t>
  </si>
  <si>
    <t>N9Y45A</t>
  </si>
  <si>
    <t>HPE StoreEasy 32TB SAS LFF (3.5in) Low Profile Carrier 4-pack HDD Bundle</t>
  </si>
  <si>
    <t>P19978-K21</t>
  </si>
  <si>
    <t>HPE 480GB SATA 6G Mixed Use LFF SCC 5300M SSD</t>
  </si>
  <si>
    <t>P19982-K21</t>
  </si>
  <si>
    <t>HPE 1.92TB SATA 6G Mixed Use LFF SCC 5300M SSD</t>
  </si>
  <si>
    <t>StoreEasy Services</t>
  </si>
  <si>
    <t>HU4A6A4</t>
  </si>
  <si>
    <t>HU4A6A4     YK1</t>
  </si>
  <si>
    <t>HPE SE1660 SE1860 WSS2016 Support</t>
  </si>
  <si>
    <t>HU4A6A5</t>
  </si>
  <si>
    <t>HU4A6A5     YK1</t>
  </si>
  <si>
    <t>HU4A6A3     YK1</t>
  </si>
  <si>
    <t xml:space="preserve">HU4A3A4 </t>
  </si>
  <si>
    <t>HU4A3A4     YK1</t>
  </si>
  <si>
    <t xml:space="preserve">HU4A3A5 </t>
  </si>
  <si>
    <t>HU4A3A5     YK1</t>
  </si>
  <si>
    <t xml:space="preserve">HU4A3A3 </t>
  </si>
  <si>
    <t>HU4A3A3     YK1</t>
  </si>
  <si>
    <t>SAN SW</t>
  </si>
  <si>
    <t>Traansceiver</t>
  </si>
  <si>
    <t>Q9D30A</t>
  </si>
  <si>
    <t>HPE C-series 32 Gb Fibre Channel Short Wave SFP+ Transceiver</t>
  </si>
  <si>
    <t>Q9D31A</t>
  </si>
  <si>
    <t>HPE C-series 32 Gb Fibre Channel Long Wave SFP+ Transceiver</t>
  </si>
  <si>
    <t>C8S72A</t>
  </si>
  <si>
    <t>HPE C-series 16 Gb Fibre Channel SW SFP+ Transceiver</t>
  </si>
  <si>
    <t>C8S73A</t>
  </si>
  <si>
    <t>HPE C-series 16 Gb Fibre Channel LW SFP+ Transceiver</t>
  </si>
  <si>
    <t>Option</t>
  </si>
  <si>
    <t>Q9D37A</t>
  </si>
  <si>
    <t>HPE SN6610C 650W Power Supply</t>
  </si>
  <si>
    <t>Q9D38A</t>
  </si>
  <si>
    <t>HPE SN6610C Fan Tray</t>
  </si>
  <si>
    <t>D4U60AAE</t>
  </si>
  <si>
    <t>HPE SN6010C 12-port 16Gb Fibre Channel Upgrade E-LTU</t>
  </si>
  <si>
    <t>Q9Z41AAE</t>
  </si>
  <si>
    <t>HPE SN6610C 32Gb 8-port Fibre Channel Upgrade E-LTU</t>
  </si>
  <si>
    <t>Mã</t>
  </si>
  <si>
    <t>Số lượng</t>
  </si>
  <si>
    <t>Intel xeon PLATIUM</t>
  </si>
  <si>
    <t>8124M(18C/36T, 3.0GHz,24,75MB)</t>
  </si>
  <si>
    <t>8156( 3.60GHZ - 4 CORE / 8 THREADS - FCLGA 3647 )</t>
  </si>
  <si>
    <t>Intel xeon GOLD</t>
  </si>
  <si>
    <t>6138T</t>
  </si>
  <si>
    <t>6244</t>
  </si>
  <si>
    <t>Intel xeon Silver</t>
  </si>
  <si>
    <t>4210</t>
  </si>
  <si>
    <t>4210R</t>
  </si>
  <si>
    <t>4216</t>
  </si>
  <si>
    <t xml:space="preserve">Intel Xeon Bronze </t>
  </si>
  <si>
    <t>3204 ( 1.90 Ghz - 6C / 6T - 8,25M Cache - FCLGA 3647 - SRFBP )</t>
  </si>
  <si>
    <t>Intel Xeon E5</t>
  </si>
  <si>
    <t>E5-2680v4</t>
  </si>
  <si>
    <t>E5-2699v4</t>
  </si>
  <si>
    <t>E5-2687Wv3</t>
  </si>
  <si>
    <t>E5-2698v4</t>
  </si>
  <si>
    <t>E5-2680v3</t>
  </si>
  <si>
    <t>2c lỗi</t>
  </si>
  <si>
    <t>E5-2543v3</t>
  </si>
  <si>
    <t>1c lỗi</t>
  </si>
  <si>
    <t>E5-2620v3</t>
  </si>
  <si>
    <t>E5-2666v3</t>
  </si>
  <si>
    <t>E5-2690v4</t>
  </si>
  <si>
    <t>E5-4669v3</t>
  </si>
  <si>
    <t>E5-2678v3</t>
  </si>
  <si>
    <t>E5-2660</t>
  </si>
  <si>
    <t>E5-2670</t>
  </si>
  <si>
    <t>E5-2670v3</t>
  </si>
  <si>
    <t>E5-2609v3</t>
  </si>
  <si>
    <t>RAM</t>
  </si>
  <si>
    <t>CU-SK-RM</t>
  </si>
  <si>
    <t>SK 32GB 2666V RDIM 2 dòng chip</t>
  </si>
  <si>
    <t>CU-SS-RM</t>
  </si>
  <si>
    <t>SS 8GB 2666V RDIM 1 dòng chip</t>
  </si>
  <si>
    <t>SS 8GB 2666V UDIM 1 dòng chip</t>
  </si>
  <si>
    <t>CU-MI-RM</t>
  </si>
  <si>
    <t>MI 32GB 2666V RDIM 2 dòng chip</t>
  </si>
  <si>
    <t>NK-SS-RM</t>
  </si>
  <si>
    <t>SS 64GB 2933Y RDIM 2 dòng chip</t>
  </si>
  <si>
    <t>SK 64GB 2933Y RDIM 2 dòng chip</t>
  </si>
  <si>
    <t>SS 32GB 2400T RDIM 2 dòng chip</t>
  </si>
  <si>
    <t>SK 32GB 2400T RDIM 2 dòng chip</t>
  </si>
  <si>
    <t>MI 32GB 2400T RDIM 2 dòng chip</t>
  </si>
  <si>
    <t>SS 32GB 2400T RDIM 1 dòng chip</t>
  </si>
  <si>
    <t>SS 8GB 2133Y RDIM 2 dòng chip</t>
  </si>
  <si>
    <t xml:space="preserve">SS 16GB PC3L 128000R RDIM 2 dòng chip </t>
  </si>
  <si>
    <t>SS 16GB 2400T RDIM 1 dòng chip</t>
  </si>
  <si>
    <t>SS 32GB 2133P LD 2 dòng chip</t>
  </si>
  <si>
    <t>SS 32GB 2133P RDIM 2 dòng chip</t>
  </si>
  <si>
    <t>SS 16GB 2133P RDIM 2 dòng chip</t>
  </si>
  <si>
    <t>SK 8GB 3200AA UDIM 1 dòng chip</t>
  </si>
  <si>
    <t>SK 16GB 2666V RDIM 1 dòng chip</t>
  </si>
  <si>
    <t>SS 4GB 3200AA UDIM 1 dòng chip</t>
  </si>
  <si>
    <t>SS 32GB 2400 RDIM 2 dòng chip</t>
  </si>
  <si>
    <t>SK 64GB 2400 RDIM 2 dòng chip</t>
  </si>
  <si>
    <t>MI 32GB 2933Y RDIM 2 dòng chip</t>
  </si>
  <si>
    <t>MI 16GB 2933Y RDIM 1 dòng chip</t>
  </si>
  <si>
    <t>SS 16GB 2933Y RDIM 1 dòng chip</t>
  </si>
  <si>
    <t>MI 32GB 2933Y RDIM 1 dòng chip</t>
  </si>
  <si>
    <t>SS 32GB 2933Y RDIM 2 dòng chip</t>
  </si>
  <si>
    <t>SS 16GB 2666V RDIM 2 dòng chip</t>
  </si>
  <si>
    <t>NK-MI-RMPC</t>
  </si>
  <si>
    <t>MI 16GB 2666V 2 dòng chip</t>
  </si>
  <si>
    <t>MI 16GB 2666V RDIM 1 dòng chip</t>
  </si>
  <si>
    <t>CU-HPSS-RM</t>
  </si>
  <si>
    <t>HPSS 64GB 2933Y RDIM 2 dòng chip</t>
  </si>
  <si>
    <t>CU-HPSK-RM</t>
  </si>
  <si>
    <t>HPSK 64GB 29337 RDIM 2 dòng chip</t>
  </si>
  <si>
    <t>SS 16GB 2666V RDIM 1 dòng chip</t>
  </si>
  <si>
    <t>CH-MI-RM</t>
  </si>
  <si>
    <t>MI 16GB 3200AA RDIM 1 dòng chip</t>
  </si>
  <si>
    <t>NK-Mi-RM</t>
  </si>
  <si>
    <t>Micron 16GB 3200 1 dòng chip</t>
  </si>
  <si>
    <t>CH-SS-RM</t>
  </si>
  <si>
    <t>SS 16GB 3200AA RDIM 1 dòng chip</t>
  </si>
  <si>
    <t>CH-SK-RM</t>
  </si>
  <si>
    <t>SK 16GB 3200AA RDIM 1 dòng chip</t>
  </si>
  <si>
    <t>SK 8GB 3200AA RDIM 1 dòng chip</t>
  </si>
  <si>
    <t>SS 32GB 2666V RDIM 1 dòng chip</t>
  </si>
  <si>
    <t>HPSKhynix 16GB 2133P 2 dòng chip</t>
  </si>
  <si>
    <t>HPE Samsung 16GB 2133P RDIMM 2 dòng chip</t>
  </si>
  <si>
    <t>HPE Skhynix 16GB 2133P RDIMM 2 dòng chip</t>
  </si>
  <si>
    <t>HPE Skhynix 8G 2400T RDIMM 1 dòng chip</t>
  </si>
  <si>
    <t>HPE Samsung 32GB 2933Y RDiMM 2 dòng chip</t>
  </si>
  <si>
    <t>NK-HPSS-RM</t>
  </si>
  <si>
    <t>HPE Samsung 32GB 2933Y RDiMM 2 dòng chip full box</t>
  </si>
  <si>
    <t>DISK</t>
  </si>
  <si>
    <t>HDD Dell 2TB SAS 12gbps 7.2K PRM 3.5</t>
  </si>
  <si>
    <t>HDD IBM 10TB 7.2K RPM 12gbps SAS 3.5</t>
  </si>
  <si>
    <t>HDD HGST 10TB SAS 12Gbps 7.2K RPM 3.5</t>
  </si>
  <si>
    <t>HDD WD 1TB SATA 7.2K RPM</t>
  </si>
  <si>
    <t>HDD Dell 12TB SAS 12Gbps 512e 7.2K RPM 3.5</t>
  </si>
  <si>
    <t>HDD Seagate 3TB 6gpbs SAS 3.5</t>
  </si>
  <si>
    <t>HDD Dell 4TB SAS 12Gb 7.2K RPM 3.5</t>
  </si>
  <si>
    <t>HDD WD 8TB DC HC320 SATA 6Gpbs 3.5</t>
  </si>
  <si>
    <t>HDD Dell EMC 6Tb SAS 12Gb 4Kn 7.2K RPM 3.5</t>
  </si>
  <si>
    <t>SSD Samsung SM862 960GB  SATA 6Gbps 2.5</t>
  </si>
  <si>
    <t>SSD HPE 5210 ion 2.5</t>
  </si>
  <si>
    <t>SSD Intel D3-S4510 960GB 2.5</t>
  </si>
  <si>
    <t>SSD Samsung SM883 480GB SATA 6Gpbs 2.5</t>
  </si>
  <si>
    <t>SSD HPE SM863a 1.92TB sata 6gbps 2.5</t>
  </si>
  <si>
    <t>SSD PM883 240GB sata 6gpbs 2.5</t>
  </si>
  <si>
    <t>SSD PM863a 240GB sata 6gpbs 2.5</t>
  </si>
  <si>
    <t>SSD SM883 960GB sata 6gbps 2.5</t>
  </si>
  <si>
    <t>SSD Dell 480GB sata 6Gbps 2.5</t>
  </si>
  <si>
    <t>SSD Intel DC S4500 480Gb 2.5</t>
  </si>
  <si>
    <t>SSD Intel DC S4600 480Gb 2.5</t>
  </si>
  <si>
    <t>SSD HPE 5300 Pro 2.5</t>
  </si>
  <si>
    <t>SSD Toshiba 960 12Gb 2.5</t>
  </si>
  <si>
    <t>HDD IBM 1.8Tb 10K 12gbps SAS 2.5</t>
  </si>
  <si>
    <t>HDD Dell 1.2TB SAS 12gbps 10K RPM 2.5</t>
  </si>
  <si>
    <t>HDD HPE 600GB 10K SAS 2.5</t>
  </si>
  <si>
    <t>HDD Dell Enterprise Plus 1.8TB 12Gbps 10K RPM 2.5</t>
  </si>
  <si>
    <t>HDD HGST 1.2TB SAS 10K RPM 2.5</t>
  </si>
  <si>
    <t>HDD HPE 1.2TB 10K SAS 2.5</t>
  </si>
  <si>
    <t xml:space="preserve">SSD Samsung PM1725a 3.2TB PCIe </t>
  </si>
  <si>
    <t>HDD Dell 1TB SATA 6gbps 7.2K RPM 2.5</t>
  </si>
  <si>
    <t>HDD HPE 2.4TB 10K SAS 2.5</t>
  </si>
  <si>
    <t>HDD IBM system strorage 800GB 12gb SAS 2.5</t>
  </si>
  <si>
    <t>HDD Dell enterprise Plus SAS 12Gbps 800GB 2.5</t>
  </si>
  <si>
    <t>HDD IBM storage 1.6TB SAS 2.5</t>
  </si>
  <si>
    <t>HDD HGST Ultrastar SS200 800GB 2.5</t>
  </si>
  <si>
    <t>SSD Samsung 980 NVMe M2 1TB</t>
  </si>
  <si>
    <t>SSD Samsung 870 QVO 1TB SATA 2.5</t>
  </si>
  <si>
    <t>HDD Dell enterprise plus 1.8TB 10K SAS 2.5</t>
  </si>
  <si>
    <t>HDD IBM System storage 1.8TB 10K 12gb 2.5</t>
  </si>
  <si>
    <t>HDD Dell EMC 480GB SATA 6G 2.5</t>
  </si>
  <si>
    <t>SSD Dell EMC 800GB SAS 12G 2.5</t>
  </si>
  <si>
    <t>SSD Dell 960GB 12gbps 2.5</t>
  </si>
  <si>
    <t>SSD IBM system storage 3.84TB 12G SAS 2.5</t>
  </si>
  <si>
    <t>SSD Intel DC P4600 1.6TB 2.5</t>
  </si>
  <si>
    <t>HDD Lenovo system 1.2TB 10K RPM SAS 12Gbps 2.5</t>
  </si>
  <si>
    <t>SSD Samsung PM882 3.84TB SATA 6Gpbs 2.5</t>
  </si>
  <si>
    <t>HDD Dell 2.4TB SAS 12Gbps 512e PRM 10K</t>
  </si>
  <si>
    <t>SSD Lenovo PM1635 800GB 12Gb/s</t>
  </si>
  <si>
    <t>SSD NVMe 983 Zet 480GB</t>
  </si>
  <si>
    <t>HDD IBM 600GB SAS 10K 2.5 V3500</t>
  </si>
  <si>
    <t>HDD Hitachi 600Gb 15K SAS 3.5</t>
  </si>
  <si>
    <t>Raid</t>
  </si>
  <si>
    <t>H330 adapter</t>
  </si>
  <si>
    <t>H750</t>
  </si>
  <si>
    <t>H730</t>
  </si>
  <si>
    <t>H330</t>
  </si>
  <si>
    <t>H730P</t>
  </si>
  <si>
    <t>H730P adapter</t>
  </si>
  <si>
    <t>NIC</t>
  </si>
  <si>
    <t>NVMe R740</t>
  </si>
  <si>
    <t>S3108L</t>
  </si>
  <si>
    <t>NVMe R630</t>
  </si>
  <si>
    <t>57800 10G 2+2p</t>
  </si>
  <si>
    <t>Mezz đồng 2p 1G 2p 10G</t>
  </si>
  <si>
    <t>I350 T2</t>
  </si>
  <si>
    <t>I350 T4</t>
  </si>
  <si>
    <t>LPE 31002 10GB</t>
  </si>
  <si>
    <t>CX354A 40G</t>
  </si>
  <si>
    <t>HP SN1000E 16GB</t>
  </si>
  <si>
    <t>QLE 2692 16GB</t>
  </si>
  <si>
    <t>LPE 12002 8GB</t>
  </si>
  <si>
    <t>X520-DA2</t>
  </si>
  <si>
    <t>BCM 957810A</t>
  </si>
  <si>
    <t>57810S</t>
  </si>
  <si>
    <t>560SPF+ 10g</t>
  </si>
  <si>
    <t>BCM 57412 10G</t>
  </si>
  <si>
    <t>GPU</t>
  </si>
  <si>
    <t>RTX 8000</t>
  </si>
  <si>
    <t>M10</t>
  </si>
  <si>
    <t>BackPlane</t>
  </si>
  <si>
    <t>BP</t>
  </si>
  <si>
    <t>BP R740</t>
  </si>
  <si>
    <t>Riser 1 R740</t>
  </si>
  <si>
    <t>Riser 2 R740</t>
  </si>
  <si>
    <t>BP 2 R730xd</t>
  </si>
  <si>
    <t>Riser 3 R740</t>
  </si>
  <si>
    <t>BP 3 R730xd</t>
  </si>
  <si>
    <t>Riser 1 R730xd</t>
  </si>
  <si>
    <t>Riser 3 R730xd</t>
  </si>
  <si>
    <t>Riser 2 R730xd</t>
  </si>
  <si>
    <t>Riser 2B R740xd</t>
  </si>
  <si>
    <t>Riser 2 R640</t>
  </si>
  <si>
    <t>Main</t>
  </si>
  <si>
    <t>Mới</t>
  </si>
  <si>
    <t>Case Super Micro X11 Dpi</t>
  </si>
  <si>
    <t>Main X11 Dpi</t>
  </si>
  <si>
    <t>Dell EMC PowerEdge R740XD 24SFF</t>
  </si>
  <si>
    <t>Samsung 32GB 3200A DDR4 ECC REG</t>
  </si>
  <si>
    <t>Samsung PM893 480GB SATA Enterprise</t>
  </si>
  <si>
    <t>Samsung PM893 3,84TB SATA Enterprise</t>
  </si>
  <si>
    <t>Samsung PM1643A 3,84TB SAS Enterprise</t>
  </si>
  <si>
    <t>PERC H730P RAID Controller, 2Gb NV Cache, Minicard</t>
  </si>
  <si>
    <t xml:space="preserve">Broadcom 5720 Quad Port 1GbE BASE-T </t>
  </si>
  <si>
    <t xml:space="preserve">Dell Broadcom 57810s SFP+ PCIE Adapter                        </t>
  </si>
  <si>
    <t>Dual, Hot-plug, Redundant Power Supply (1+1), 750W</t>
  </si>
  <si>
    <t>iDRAC9 Enterprise with Lifecycle Controller</t>
  </si>
  <si>
    <t>ReadyRails Sliding INOX Rails With Cable Management Arm</t>
  </si>
  <si>
    <t>Intel® Xeon® Gold 6138 Processor</t>
  </si>
  <si>
    <t>27.5M Cache, 2.00 GHz, 20 Cores, 40 Threads"</t>
  </si>
  <si>
    <t>HPE DL 360 GEN 10  8*2.5</t>
  </si>
  <si>
    <t>02 Intel® Xeon® Gold 5120 Processor (19.25M</t>
  </si>
  <si>
    <t>Cache, 2.20 GHz)</t>
  </si>
  <si>
    <t xml:space="preserve">04 Samsung 32 GB DDR4-2400 4DRx4 LP ECC RDIMM </t>
  </si>
  <si>
    <t>02 SSD SAMSUNG PM 1.92T</t>
  </si>
  <si>
    <t>HPE Smart Array P408i-a SR Gen10 Ctrlr</t>
  </si>
  <si>
    <t>Dell Broadcom 57810s SFP+ PCIE Adapter</t>
  </si>
  <si>
    <t>IDRAC</t>
  </si>
  <si>
    <t>ReadyRails Sliding Rails With Cable Management Arm</t>
  </si>
  <si>
    <t xml:space="preserve">Switch Cisco Nexus N3K-C3064PQ-10GX 48 SFP+ 4 QSFP+ Ports </t>
  </si>
  <si>
    <t>08 Module quang  SFP-10G-SR và 04 Dây nhảy quang Multi-Mode LC-LC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</si>
</sst>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&quot;$&quot;#,##0.0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Times New Roman"/>
      <family val="1"/>
    </font>
    <font>
      <b/>
      <sz val="14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b/>
      <sz val="16"/>
      <name val="Times New Roman"/>
      <family val="1"/>
    </font>
    <font>
      <sz val="12"/>
      <color theme="1"/>
      <name val="Times New Roman"/>
      <family val="2"/>
    </font>
    <font>
      <b/>
      <sz val="12"/>
      <color rgb="FF0070C0"/>
      <name val="Times New Roman"/>
      <family val="1"/>
    </font>
    <font>
      <sz val="16"/>
      <name val="Times New Roman"/>
      <family val="1"/>
    </font>
    <font>
      <sz val="10"/>
      <name val="VNI-Helve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Arial"/>
      <family val="2"/>
    </font>
    <font>
      <sz val="10"/>
      <color theme="0" tint="-0.499984740745262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9"/>
      <color rgb="FF000000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CCCCFF"/>
      </right>
      <top/>
      <bottom style="thin">
        <color rgb="FFCCCCFF"/>
      </bottom>
      <diagonal/>
    </border>
    <border>
      <left style="thin">
        <color rgb="FFCCCCFF"/>
      </left>
      <right style="thin">
        <color rgb="FFCCCCFF"/>
      </right>
      <top style="thin">
        <color rgb="FFCCCCFF"/>
      </top>
      <bottom style="thin">
        <color rgb="FFCCCCFF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12" fillId="0" borderId="0"/>
    <xf numFmtId="0" fontId="15" fillId="0" borderId="0"/>
    <xf numFmtId="0" fontId="15" fillId="0" borderId="0"/>
  </cellStyleXfs>
  <cellXfs count="167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3" fontId="4" fillId="2" borderId="1" xfId="1" applyNumberFormat="1" applyFont="1" applyFill="1" applyBorder="1" applyAlignment="1">
      <alignment horizontal="center" vertical="center" wrapText="1"/>
    </xf>
    <xf numFmtId="3" fontId="7" fillId="2" borderId="1" xfId="0" applyNumberFormat="1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5" fontId="4" fillId="2" borderId="1" xfId="1" applyNumberFormat="1" applyFont="1" applyFill="1" applyBorder="1" applyAlignment="1">
      <alignment horizontal="center" vertical="center" wrapText="1"/>
    </xf>
    <xf numFmtId="165" fontId="7" fillId="2" borderId="1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165" fontId="0" fillId="0" borderId="0" xfId="1" applyNumberFormat="1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8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65" fontId="0" fillId="0" borderId="1" xfId="1" applyNumberFormat="1" applyFont="1" applyBorder="1" applyAlignment="1">
      <alignment horizontal="right" vertical="center"/>
    </xf>
    <xf numFmtId="0" fontId="0" fillId="0" borderId="1" xfId="0" applyBorder="1"/>
    <xf numFmtId="0" fontId="7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8" fillId="0" borderId="1" xfId="2" applyFont="1" applyBorder="1" applyAlignment="1">
      <alignment horizontal="left" vertical="center" wrapText="1"/>
    </xf>
    <xf numFmtId="0" fontId="8" fillId="0" borderId="1" xfId="2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right" vertical="center"/>
    </xf>
    <xf numFmtId="3" fontId="13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66" fontId="8" fillId="0" borderId="1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8" fillId="0" borderId="2" xfId="2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" xfId="2" applyFont="1" applyFill="1" applyBorder="1" applyAlignment="1">
      <alignment horizontal="left" vertical="center" wrapText="1"/>
    </xf>
    <xf numFmtId="0" fontId="8" fillId="3" borderId="1" xfId="2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65" fontId="8" fillId="0" borderId="1" xfId="1" applyNumberFormat="1" applyFont="1" applyFill="1" applyBorder="1" applyAlignment="1">
      <alignment horizontal="center" vertical="center"/>
    </xf>
    <xf numFmtId="165" fontId="8" fillId="0" borderId="0" xfId="1" applyNumberFormat="1" applyFont="1" applyFill="1" applyBorder="1" applyAlignment="1">
      <alignment horizontal="center" vertical="center"/>
    </xf>
    <xf numFmtId="0" fontId="9" fillId="0" borderId="1" xfId="2" applyFont="1" applyBorder="1" applyAlignment="1">
      <alignment horizontal="left" vertical="center" wrapText="1"/>
    </xf>
    <xf numFmtId="0" fontId="11" fillId="0" borderId="1" xfId="3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/>
    </xf>
    <xf numFmtId="165" fontId="18" fillId="4" borderId="1" xfId="1" applyNumberFormat="1" applyFont="1" applyFill="1" applyBorder="1" applyAlignment="1">
      <alignment horizontal="center" vertical="center"/>
    </xf>
    <xf numFmtId="165" fontId="18" fillId="5" borderId="1" xfId="1" applyNumberFormat="1" applyFont="1" applyFill="1" applyBorder="1" applyAlignment="1">
      <alignment horizontal="center" vertical="center"/>
    </xf>
    <xf numFmtId="0" fontId="19" fillId="0" borderId="0" xfId="4" applyFont="1"/>
    <xf numFmtId="0" fontId="20" fillId="6" borderId="0" xfId="4" applyFont="1" applyFill="1" applyAlignment="1">
      <alignment vertical="center" wrapText="1"/>
    </xf>
    <xf numFmtId="0" fontId="20" fillId="6" borderId="0" xfId="4" applyFont="1" applyFill="1" applyAlignment="1">
      <alignment horizontal="center" vertical="center" wrapText="1"/>
    </xf>
    <xf numFmtId="165" fontId="19" fillId="0" borderId="0" xfId="1" applyNumberFormat="1" applyFont="1" applyFill="1"/>
    <xf numFmtId="0" fontId="0" fillId="7" borderId="0" xfId="0" applyFill="1"/>
    <xf numFmtId="165" fontId="1" fillId="0" borderId="0" xfId="1" applyNumberFormat="1" applyFont="1" applyFill="1"/>
    <xf numFmtId="0" fontId="19" fillId="7" borderId="0" xfId="4" applyFont="1" applyFill="1"/>
    <xf numFmtId="0" fontId="0" fillId="0" borderId="0" xfId="0" applyAlignment="1">
      <alignment horizontal="center" vertical="center" wrapText="1"/>
    </xf>
    <xf numFmtId="165" fontId="19" fillId="0" borderId="0" xfId="1" applyNumberFormat="1" applyFont="1"/>
    <xf numFmtId="0" fontId="0" fillId="7" borderId="0" xfId="0" applyFill="1" applyAlignment="1">
      <alignment vertical="center"/>
    </xf>
    <xf numFmtId="0" fontId="21" fillId="0" borderId="0" xfId="0" applyFont="1" applyAlignment="1">
      <alignment horizontal="left"/>
    </xf>
    <xf numFmtId="0" fontId="21" fillId="7" borderId="0" xfId="0" applyFont="1" applyFill="1" applyAlignment="1">
      <alignment horizontal="left"/>
    </xf>
    <xf numFmtId="0" fontId="20" fillId="6" borderId="0" xfId="4" applyFont="1" applyFill="1" applyAlignment="1">
      <alignment vertical="center"/>
    </xf>
    <xf numFmtId="0" fontId="0" fillId="8" borderId="0" xfId="0" applyFill="1"/>
    <xf numFmtId="0" fontId="21" fillId="8" borderId="4" xfId="0" applyFont="1" applyFill="1" applyBorder="1" applyAlignment="1">
      <alignment horizontal="left"/>
    </xf>
    <xf numFmtId="0" fontId="21" fillId="8" borderId="5" xfId="0" applyFont="1" applyFill="1" applyBorder="1" applyAlignment="1">
      <alignment horizontal="left"/>
    </xf>
    <xf numFmtId="0" fontId="21" fillId="8" borderId="0" xfId="0" applyFont="1" applyFill="1" applyAlignment="1">
      <alignment horizontal="left"/>
    </xf>
    <xf numFmtId="165" fontId="2" fillId="0" borderId="0" xfId="1" applyNumberFormat="1" applyFont="1" applyFill="1"/>
    <xf numFmtId="0" fontId="19" fillId="8" borderId="0" xfId="4" applyFont="1" applyFill="1" applyAlignment="1">
      <alignment horizontal="left" vertical="center" wrapText="1"/>
    </xf>
    <xf numFmtId="0" fontId="19" fillId="8" borderId="0" xfId="4" applyFont="1" applyFill="1"/>
    <xf numFmtId="0" fontId="0" fillId="9" borderId="0" xfId="0" applyFill="1"/>
    <xf numFmtId="0" fontId="21" fillId="9" borderId="0" xfId="0" applyFont="1" applyFill="1" applyAlignment="1">
      <alignment horizontal="left"/>
    </xf>
    <xf numFmtId="0" fontId="19" fillId="9" borderId="0" xfId="4" applyFont="1" applyFill="1"/>
    <xf numFmtId="49" fontId="22" fillId="0" borderId="1" xfId="0" applyNumberFormat="1" applyFont="1" applyBorder="1" applyAlignment="1">
      <alignment horizontal="center" vertical="center"/>
    </xf>
    <xf numFmtId="0" fontId="22" fillId="0" borderId="1" xfId="2" applyFont="1" applyBorder="1" applyAlignment="1">
      <alignment horizontal="center" vertical="center" wrapText="1"/>
    </xf>
    <xf numFmtId="3" fontId="23" fillId="0" borderId="1" xfId="0" applyNumberFormat="1" applyFont="1" applyBorder="1" applyAlignment="1">
      <alignment horizontal="center" vertical="center" wrapText="1"/>
    </xf>
    <xf numFmtId="0" fontId="24" fillId="0" borderId="1" xfId="2" applyFont="1" applyBorder="1" applyAlignment="1">
      <alignment horizontal="center" vertical="center" wrapText="1"/>
    </xf>
    <xf numFmtId="0" fontId="25" fillId="0" borderId="1" xfId="0" applyFont="1" applyBorder="1" applyAlignment="1">
      <alignment vertical="center"/>
    </xf>
    <xf numFmtId="0" fontId="25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 wrapText="1"/>
    </xf>
    <xf numFmtId="0" fontId="25" fillId="0" borderId="1" xfId="0" applyFont="1" applyBorder="1" applyAlignment="1">
      <alignment horizontal="center" vertical="center"/>
    </xf>
    <xf numFmtId="165" fontId="25" fillId="0" borderId="1" xfId="1" applyNumberFormat="1" applyFont="1" applyBorder="1" applyAlignment="1">
      <alignment horizontal="right" vertical="center"/>
    </xf>
    <xf numFmtId="0" fontId="25" fillId="0" borderId="1" xfId="0" applyFont="1" applyBorder="1"/>
    <xf numFmtId="0" fontId="26" fillId="0" borderId="1" xfId="0" applyFont="1" applyBorder="1" applyAlignment="1">
      <alignment horizontal="center" vertical="center" wrapText="1"/>
    </xf>
    <xf numFmtId="3" fontId="22" fillId="0" borderId="1" xfId="0" applyNumberFormat="1" applyFont="1" applyBorder="1" applyAlignment="1">
      <alignment vertical="center" wrapText="1"/>
    </xf>
    <xf numFmtId="3" fontId="26" fillId="0" borderId="1" xfId="0" applyNumberFormat="1" applyFont="1" applyBorder="1" applyAlignment="1">
      <alignment vertical="center" wrapText="1"/>
    </xf>
    <xf numFmtId="3" fontId="27" fillId="0" borderId="1" xfId="0" applyNumberFormat="1" applyFont="1" applyBorder="1" applyAlignment="1">
      <alignment vertical="center" wrapText="1"/>
    </xf>
    <xf numFmtId="0" fontId="26" fillId="0" borderId="1" xfId="0" applyFont="1" applyBorder="1" applyAlignment="1">
      <alignment horizontal="left" vertical="center" wrapText="1"/>
    </xf>
    <xf numFmtId="0" fontId="0" fillId="10" borderId="1" xfId="0" applyFill="1" applyBorder="1" applyAlignment="1">
      <alignment horizontal="center" vertical="center"/>
    </xf>
    <xf numFmtId="0" fontId="29" fillId="10" borderId="1" xfId="0" applyFont="1" applyFill="1" applyBorder="1" applyAlignment="1">
      <alignment vertical="center" wrapText="1"/>
    </xf>
    <xf numFmtId="165" fontId="0" fillId="10" borderId="1" xfId="1" applyNumberFormat="1" applyFont="1" applyFill="1" applyBorder="1" applyAlignment="1">
      <alignment vertical="center"/>
    </xf>
    <xf numFmtId="165" fontId="1" fillId="10" borderId="0" xfId="1" applyNumberFormat="1" applyFont="1" applyFill="1" applyBorder="1" applyAlignment="1">
      <alignment vertical="center"/>
    </xf>
    <xf numFmtId="0" fontId="29" fillId="0" borderId="1" xfId="0" applyFont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/>
    </xf>
    <xf numFmtId="165" fontId="0" fillId="0" borderId="1" xfId="1" applyNumberFormat="1" applyFont="1" applyFill="1" applyBorder="1" applyAlignment="1">
      <alignment vertical="center"/>
    </xf>
    <xf numFmtId="165" fontId="1" fillId="0" borderId="1" xfId="1" applyNumberFormat="1" applyFont="1" applyFill="1" applyBorder="1" applyAlignment="1">
      <alignment horizontal="center" vertical="center"/>
    </xf>
    <xf numFmtId="165" fontId="1" fillId="0" borderId="1" xfId="1" applyNumberFormat="1" applyFont="1" applyFill="1" applyBorder="1" applyAlignment="1">
      <alignment vertical="center"/>
    </xf>
    <xf numFmtId="165" fontId="29" fillId="0" borderId="1" xfId="1" applyNumberFormat="1" applyFont="1" applyFill="1" applyBorder="1" applyAlignment="1">
      <alignment horizontal="center" vertical="center"/>
    </xf>
    <xf numFmtId="165" fontId="29" fillId="0" borderId="1" xfId="1" applyNumberFormat="1" applyFont="1" applyFill="1" applyBorder="1" applyAlignment="1">
      <alignment vertical="center"/>
    </xf>
    <xf numFmtId="0" fontId="29" fillId="0" borderId="1" xfId="0" applyFont="1" applyBorder="1" applyAlignment="1">
      <alignment vertical="center"/>
    </xf>
    <xf numFmtId="0" fontId="29" fillId="0" borderId="1" xfId="0" applyFont="1" applyBorder="1" applyAlignment="1">
      <alignment vertical="center" wrapText="1"/>
    </xf>
    <xf numFmtId="0" fontId="29" fillId="10" borderId="1" xfId="0" applyFont="1" applyFill="1" applyBorder="1" applyAlignment="1">
      <alignment horizontal="left" vertical="center"/>
    </xf>
    <xf numFmtId="0" fontId="29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3" borderId="0" xfId="0" applyFill="1"/>
    <xf numFmtId="0" fontId="0" fillId="12" borderId="0" xfId="0" applyFill="1"/>
    <xf numFmtId="0" fontId="0" fillId="3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3" fillId="1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12" borderId="0" xfId="0" applyFill="1" applyAlignment="1">
      <alignment horizontal="center"/>
    </xf>
    <xf numFmtId="49" fontId="0" fillId="0" borderId="1" xfId="0" applyNumberFormat="1" applyBorder="1"/>
    <xf numFmtId="0" fontId="0" fillId="0" borderId="1" xfId="0" applyBorder="1" applyAlignment="1">
      <alignment horizontal="left"/>
    </xf>
    <xf numFmtId="49" fontId="0" fillId="0" borderId="0" xfId="0" applyNumberFormat="1"/>
    <xf numFmtId="49" fontId="0" fillId="0" borderId="7" xfId="0" applyNumberFormat="1" applyBorder="1"/>
    <xf numFmtId="0" fontId="30" fillId="0" borderId="1" xfId="0" applyFont="1" applyBorder="1"/>
    <xf numFmtId="0" fontId="30" fillId="0" borderId="1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29" fillId="0" borderId="0" xfId="0" applyFont="1"/>
    <xf numFmtId="0" fontId="25" fillId="0" borderId="1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6" fillId="5" borderId="2" xfId="0" applyFont="1" applyFill="1" applyBorder="1" applyAlignment="1">
      <alignment horizontal="center" vertical="center" wrapText="1"/>
    </xf>
    <xf numFmtId="0" fontId="26" fillId="5" borderId="6" xfId="0" applyFont="1" applyFill="1" applyBorder="1" applyAlignment="1">
      <alignment horizontal="center" vertical="center" wrapText="1"/>
    </xf>
    <xf numFmtId="0" fontId="26" fillId="5" borderId="3" xfId="0" applyFont="1" applyFill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center" vertical="center" wrapText="1"/>
    </xf>
    <xf numFmtId="49" fontId="4" fillId="2" borderId="3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9" fillId="11" borderId="1" xfId="0" applyFont="1" applyFill="1" applyBorder="1" applyAlignment="1">
      <alignment horizontal="center" vertical="center"/>
    </xf>
    <xf numFmtId="165" fontId="4" fillId="2" borderId="2" xfId="1" applyNumberFormat="1" applyFont="1" applyFill="1" applyBorder="1" applyAlignment="1">
      <alignment horizontal="center" vertical="center" wrapText="1"/>
    </xf>
    <xf numFmtId="165" fontId="4" fillId="2" borderId="3" xfId="1" applyNumberFormat="1" applyFont="1" applyFill="1" applyBorder="1" applyAlignment="1">
      <alignment horizontal="center" vertical="center" wrapText="1"/>
    </xf>
    <xf numFmtId="165" fontId="7" fillId="2" borderId="2" xfId="1" applyNumberFormat="1" applyFont="1" applyFill="1" applyBorder="1" applyAlignment="1">
      <alignment horizontal="center" vertical="center" wrapText="1"/>
    </xf>
    <xf numFmtId="165" fontId="7" fillId="2" borderId="3" xfId="1" applyNumberFormat="1" applyFont="1" applyFill="1" applyBorder="1" applyAlignment="1">
      <alignment horizontal="center" vertical="center" wrapText="1"/>
    </xf>
    <xf numFmtId="3" fontId="4" fillId="2" borderId="2" xfId="0" applyNumberFormat="1" applyFont="1" applyFill="1" applyBorder="1" applyAlignment="1">
      <alignment horizontal="center" vertical="center" wrapText="1"/>
    </xf>
    <xf numFmtId="3" fontId="4" fillId="2" borderId="3" xfId="0" applyNumberFormat="1" applyFont="1" applyFill="1" applyBorder="1" applyAlignment="1">
      <alignment horizontal="center" vertical="center" wrapText="1"/>
    </xf>
    <xf numFmtId="0" fontId="4" fillId="0" borderId="1" xfId="3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3" applyFont="1" applyBorder="1" applyAlignment="1">
      <alignment horizontal="center" vertical="center" wrapText="1"/>
    </xf>
    <xf numFmtId="0" fontId="19" fillId="0" borderId="0" xfId="4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19" fillId="9" borderId="0" xfId="4" applyFont="1" applyFill="1" applyAlignment="1">
      <alignment horizontal="center" wrapText="1"/>
    </xf>
    <xf numFmtId="0" fontId="0" fillId="7" borderId="0" xfId="0" applyFill="1" applyAlignment="1">
      <alignment horizontal="center" vertical="center" wrapText="1"/>
    </xf>
    <xf numFmtId="0" fontId="19" fillId="8" borderId="0" xfId="4" applyFont="1" applyFill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wrapText="1"/>
    </xf>
  </cellXfs>
  <cellStyles count="5">
    <cellStyle name="_x000d__x000a_JournalTemplate=C:\COMFO\CTALK\JOURSTD.TPL_x000d__x000a_LbStateAddress=3 3 0 251 1 89 2 311_x000d__x000a_LbStateJou" xfId="3" xr:uid="{00000000-0005-0000-0000-000000000000}"/>
    <cellStyle name="Comma" xfId="1" builtinId="3"/>
    <cellStyle name="Normal" xfId="0" builtinId="0"/>
    <cellStyle name="Normal 2" xfId="4" xr:uid="{00000000-0005-0000-0000-000003000000}"/>
    <cellStyle name="Normal 7" xfId="2" xr:uid="{00000000-0005-0000-0000-000004000000}"/>
  </cellStyles>
  <dxfs count="19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F16" sqref="F16"/>
    </sheetView>
  </sheetViews>
  <sheetFormatPr defaultColWidth="8.85546875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9"/>
  <sheetViews>
    <sheetView zoomScale="138" zoomScaleNormal="138" workbookViewId="0">
      <pane ySplit="1" topLeftCell="A39" activePane="bottomLeft" state="frozen"/>
      <selection pane="bottomLeft" activeCell="D46" sqref="D46"/>
    </sheetView>
  </sheetViews>
  <sheetFormatPr defaultColWidth="8.85546875" defaultRowHeight="15"/>
  <cols>
    <col min="1" max="1" width="9.140625" style="11"/>
    <col min="2" max="2" width="19.42578125" style="12" bestFit="1" customWidth="1"/>
    <col min="3" max="3" width="11.85546875" style="10" customWidth="1"/>
    <col min="4" max="4" width="47.28515625" style="18" customWidth="1"/>
    <col min="5" max="5" width="9.140625" style="10"/>
    <col min="6" max="7" width="16.28515625" style="13" bestFit="1" customWidth="1"/>
    <col min="8" max="8" width="16.28515625" style="13" customWidth="1"/>
    <col min="9" max="9" width="12.42578125" bestFit="1" customWidth="1"/>
  </cols>
  <sheetData>
    <row r="1" spans="1:10" s="7" customFormat="1" ht="51.75" customHeight="1">
      <c r="A1" s="14" t="s">
        <v>0</v>
      </c>
      <c r="B1" s="15" t="s">
        <v>1</v>
      </c>
      <c r="C1" s="1" t="s">
        <v>2</v>
      </c>
      <c r="D1" s="17" t="s">
        <v>3</v>
      </c>
      <c r="E1" s="3" t="s">
        <v>4</v>
      </c>
      <c r="F1" s="8" t="s">
        <v>5</v>
      </c>
      <c r="G1" s="9" t="s">
        <v>6</v>
      </c>
      <c r="H1" s="5" t="s">
        <v>7</v>
      </c>
      <c r="I1" s="6" t="s">
        <v>8</v>
      </c>
    </row>
    <row r="2" spans="1:10" ht="25.5">
      <c r="A2" s="81">
        <v>1</v>
      </c>
      <c r="B2" s="82" t="s">
        <v>9</v>
      </c>
      <c r="C2" s="124" t="s">
        <v>10</v>
      </c>
      <c r="D2" s="83" t="s">
        <v>11</v>
      </c>
      <c r="E2" s="84">
        <v>8</v>
      </c>
      <c r="F2" s="85">
        <v>14000000</v>
      </c>
      <c r="G2" s="85">
        <v>13500000</v>
      </c>
      <c r="H2" s="85"/>
      <c r="I2" s="86"/>
    </row>
    <row r="3" spans="1:10" ht="25.5">
      <c r="A3" s="81">
        <v>2</v>
      </c>
      <c r="B3" s="82" t="s">
        <v>12</v>
      </c>
      <c r="C3" s="124"/>
      <c r="D3" s="83" t="s">
        <v>13</v>
      </c>
      <c r="E3" s="84">
        <v>2</v>
      </c>
      <c r="F3" s="85">
        <v>14500000</v>
      </c>
      <c r="G3" s="85">
        <v>14000000</v>
      </c>
      <c r="H3" s="85"/>
      <c r="I3" s="86"/>
    </row>
    <row r="4" spans="1:10" ht="25.5">
      <c r="A4" s="81">
        <v>3</v>
      </c>
      <c r="B4" s="82" t="s">
        <v>14</v>
      </c>
      <c r="C4" s="124" t="s">
        <v>15</v>
      </c>
      <c r="D4" s="83" t="s">
        <v>16</v>
      </c>
      <c r="E4" s="84">
        <v>2</v>
      </c>
      <c r="F4" s="85">
        <v>31500000</v>
      </c>
      <c r="G4" s="85">
        <v>30200000</v>
      </c>
      <c r="H4" s="85"/>
      <c r="I4" s="86"/>
    </row>
    <row r="5" spans="1:10" ht="25.5">
      <c r="A5" s="81">
        <v>4</v>
      </c>
      <c r="B5" s="82" t="s">
        <v>17</v>
      </c>
      <c r="C5" s="124"/>
      <c r="D5" s="83" t="s">
        <v>18</v>
      </c>
      <c r="E5" s="84">
        <v>3</v>
      </c>
      <c r="F5" s="85">
        <v>29500000</v>
      </c>
      <c r="G5" s="85">
        <v>28300000</v>
      </c>
      <c r="H5" s="85"/>
      <c r="I5" s="86"/>
    </row>
    <row r="6" spans="1:10" ht="25.5">
      <c r="A6" s="81">
        <v>5</v>
      </c>
      <c r="B6" s="82" t="s">
        <v>19</v>
      </c>
      <c r="C6" s="124"/>
      <c r="D6" s="83" t="s">
        <v>20</v>
      </c>
      <c r="E6" s="84">
        <v>1</v>
      </c>
      <c r="F6" s="85">
        <v>33500000</v>
      </c>
      <c r="G6" s="85">
        <v>32200000</v>
      </c>
      <c r="H6" s="85"/>
      <c r="I6" s="86"/>
    </row>
    <row r="7" spans="1:10" ht="25.5">
      <c r="A7" s="81">
        <v>6</v>
      </c>
      <c r="B7" s="82" t="s">
        <v>21</v>
      </c>
      <c r="C7" s="124" t="s">
        <v>22</v>
      </c>
      <c r="D7" s="83" t="s">
        <v>23</v>
      </c>
      <c r="E7" s="84">
        <v>4</v>
      </c>
      <c r="F7" s="85">
        <v>40000000</v>
      </c>
      <c r="G7" s="85">
        <v>39200000</v>
      </c>
      <c r="H7" s="85"/>
      <c r="I7" s="86"/>
    </row>
    <row r="8" spans="1:10" ht="51">
      <c r="A8" s="81">
        <v>7</v>
      </c>
      <c r="B8" s="82" t="s">
        <v>24</v>
      </c>
      <c r="C8" s="124"/>
      <c r="D8" s="83" t="s">
        <v>25</v>
      </c>
      <c r="E8" s="84">
        <v>8</v>
      </c>
      <c r="F8" s="85">
        <v>75000000</v>
      </c>
      <c r="G8" s="85">
        <v>73000000</v>
      </c>
      <c r="H8" s="85"/>
      <c r="I8" s="86"/>
    </row>
    <row r="9" spans="1:10" ht="25.5">
      <c r="A9" s="81">
        <v>8</v>
      </c>
      <c r="B9" s="82" t="s">
        <v>26</v>
      </c>
      <c r="C9" s="125" t="s">
        <v>27</v>
      </c>
      <c r="D9" s="83" t="s">
        <v>28</v>
      </c>
      <c r="E9" s="84">
        <v>2</v>
      </c>
      <c r="F9" s="85">
        <v>43000000</v>
      </c>
      <c r="G9" s="85"/>
      <c r="H9" s="85"/>
      <c r="I9" s="86"/>
    </row>
    <row r="10" spans="1:10" ht="51">
      <c r="A10" s="81">
        <v>9</v>
      </c>
      <c r="B10" s="82" t="s">
        <v>29</v>
      </c>
      <c r="C10" s="126"/>
      <c r="D10" s="83" t="s">
        <v>30</v>
      </c>
      <c r="E10" s="84">
        <v>7</v>
      </c>
      <c r="F10" s="85">
        <v>75000000</v>
      </c>
      <c r="G10" s="85"/>
      <c r="H10" s="85"/>
      <c r="I10" s="86"/>
    </row>
    <row r="11" spans="1:10" s="34" customFormat="1" ht="63.75">
      <c r="A11" s="81">
        <v>10</v>
      </c>
      <c r="B11" s="77" t="s">
        <v>31</v>
      </c>
      <c r="C11" s="127" t="s">
        <v>32</v>
      </c>
      <c r="D11" s="91" t="s">
        <v>33</v>
      </c>
      <c r="E11" s="78">
        <v>0</v>
      </c>
      <c r="F11" s="88">
        <v>18662000</v>
      </c>
      <c r="G11" s="89">
        <v>16429000</v>
      </c>
      <c r="H11" s="90">
        <v>15950000</v>
      </c>
      <c r="I11" s="78" t="s">
        <v>4</v>
      </c>
    </row>
    <row r="12" spans="1:10" s="34" customFormat="1" ht="63.75">
      <c r="A12" s="81">
        <v>11</v>
      </c>
      <c r="B12" s="77" t="s">
        <v>34</v>
      </c>
      <c r="C12" s="128"/>
      <c r="D12" s="91" t="s">
        <v>35</v>
      </c>
      <c r="E12" s="78">
        <v>0</v>
      </c>
      <c r="F12" s="88">
        <v>44366000</v>
      </c>
      <c r="G12" s="89">
        <v>39058000</v>
      </c>
      <c r="H12" s="90">
        <v>37920000</v>
      </c>
      <c r="I12" s="78" t="s">
        <v>4</v>
      </c>
      <c r="J12" s="79" t="s">
        <v>36</v>
      </c>
    </row>
    <row r="13" spans="1:10" s="34" customFormat="1" ht="63.75">
      <c r="A13" s="81">
        <v>12</v>
      </c>
      <c r="B13" s="77" t="s">
        <v>37</v>
      </c>
      <c r="C13" s="129"/>
      <c r="D13" s="91" t="s">
        <v>38</v>
      </c>
      <c r="E13" s="78">
        <v>0</v>
      </c>
      <c r="F13" s="88">
        <v>46577000</v>
      </c>
      <c r="G13" s="89">
        <v>41003000</v>
      </c>
      <c r="H13" s="90">
        <v>39809000</v>
      </c>
      <c r="I13" s="78" t="s">
        <v>4</v>
      </c>
      <c r="J13" s="79" t="s">
        <v>36</v>
      </c>
    </row>
    <row r="14" spans="1:10" s="34" customFormat="1" ht="63.75">
      <c r="A14" s="81">
        <v>13</v>
      </c>
      <c r="B14" s="77" t="s">
        <v>39</v>
      </c>
      <c r="C14" s="130" t="s">
        <v>40</v>
      </c>
      <c r="D14" s="83" t="s">
        <v>41</v>
      </c>
      <c r="E14" s="78">
        <v>0</v>
      </c>
      <c r="F14" s="88">
        <v>53543000</v>
      </c>
      <c r="G14" s="89">
        <v>47136000</v>
      </c>
      <c r="H14" s="90">
        <v>45763000</v>
      </c>
      <c r="I14" s="78" t="s">
        <v>4</v>
      </c>
    </row>
    <row r="15" spans="1:10" s="34" customFormat="1" ht="63.75">
      <c r="A15" s="81">
        <v>14</v>
      </c>
      <c r="B15" s="77" t="s">
        <v>42</v>
      </c>
      <c r="C15" s="131"/>
      <c r="D15" s="83" t="s">
        <v>43</v>
      </c>
      <c r="E15" s="78">
        <v>0</v>
      </c>
      <c r="F15" s="88">
        <v>54093000</v>
      </c>
      <c r="G15" s="89">
        <v>47620000</v>
      </c>
      <c r="H15" s="90">
        <v>46233000</v>
      </c>
      <c r="I15" s="78" t="s">
        <v>4</v>
      </c>
    </row>
    <row r="16" spans="1:10" s="34" customFormat="1" ht="63.75">
      <c r="A16" s="81">
        <v>15</v>
      </c>
      <c r="B16" s="77" t="s">
        <v>44</v>
      </c>
      <c r="C16" s="130" t="s">
        <v>45</v>
      </c>
      <c r="D16" s="83" t="s">
        <v>46</v>
      </c>
      <c r="E16" s="78">
        <v>0</v>
      </c>
      <c r="F16" s="88">
        <v>39358000</v>
      </c>
      <c r="G16" s="89">
        <v>34648000</v>
      </c>
      <c r="H16" s="90">
        <v>33639000</v>
      </c>
      <c r="I16" s="78" t="s">
        <v>4</v>
      </c>
    </row>
    <row r="17" spans="1:9" s="34" customFormat="1" ht="63.75">
      <c r="A17" s="81">
        <v>16</v>
      </c>
      <c r="B17" s="77" t="s">
        <v>47</v>
      </c>
      <c r="C17" s="131"/>
      <c r="D17" s="83" t="s">
        <v>48</v>
      </c>
      <c r="E17" s="78">
        <v>0</v>
      </c>
      <c r="F17" s="88">
        <v>41071000</v>
      </c>
      <c r="G17" s="89">
        <v>36156000</v>
      </c>
      <c r="H17" s="90">
        <v>35103000</v>
      </c>
      <c r="I17" s="78" t="s">
        <v>4</v>
      </c>
    </row>
    <row r="18" spans="1:9" s="34" customFormat="1" ht="63.75">
      <c r="A18" s="81">
        <v>17</v>
      </c>
      <c r="B18" s="77" t="s">
        <v>49</v>
      </c>
      <c r="C18" s="130" t="s">
        <v>50</v>
      </c>
      <c r="D18" s="91" t="s">
        <v>51</v>
      </c>
      <c r="E18" s="78">
        <v>0</v>
      </c>
      <c r="F18" s="88">
        <v>65951000</v>
      </c>
      <c r="G18" s="89">
        <v>58059000</v>
      </c>
      <c r="H18" s="90">
        <v>56368000</v>
      </c>
      <c r="I18" s="78" t="s">
        <v>4</v>
      </c>
    </row>
    <row r="19" spans="1:9" s="34" customFormat="1" ht="63.75">
      <c r="A19" s="81">
        <v>18</v>
      </c>
      <c r="B19" s="77" t="s">
        <v>52</v>
      </c>
      <c r="C19" s="131"/>
      <c r="D19" s="83" t="s">
        <v>53</v>
      </c>
      <c r="E19" s="78">
        <v>0</v>
      </c>
      <c r="F19" s="88">
        <v>66080000</v>
      </c>
      <c r="G19" s="89">
        <v>58173000</v>
      </c>
      <c r="H19" s="90">
        <v>56479000</v>
      </c>
      <c r="I19" s="78" t="s">
        <v>4</v>
      </c>
    </row>
    <row r="20" spans="1:9" s="34" customFormat="1" ht="63.75">
      <c r="A20" s="81">
        <v>19</v>
      </c>
      <c r="B20" s="77" t="s">
        <v>54</v>
      </c>
      <c r="C20" s="130" t="s">
        <v>55</v>
      </c>
      <c r="D20" s="91" t="s">
        <v>56</v>
      </c>
      <c r="E20" s="78">
        <v>0</v>
      </c>
      <c r="F20" s="88">
        <v>64239000</v>
      </c>
      <c r="G20" s="89">
        <v>56552000</v>
      </c>
      <c r="H20" s="90">
        <v>54905000</v>
      </c>
      <c r="I20" s="80" t="s">
        <v>57</v>
      </c>
    </row>
    <row r="21" spans="1:9" s="34" customFormat="1" ht="63.75">
      <c r="A21" s="81">
        <v>20</v>
      </c>
      <c r="B21" s="77" t="s">
        <v>58</v>
      </c>
      <c r="C21" s="131"/>
      <c r="D21" s="91" t="s">
        <v>59</v>
      </c>
      <c r="E21" s="78">
        <v>0</v>
      </c>
      <c r="F21" s="88">
        <v>64982000</v>
      </c>
      <c r="G21" s="89">
        <v>57206000</v>
      </c>
      <c r="H21" s="90">
        <v>55540000</v>
      </c>
      <c r="I21" s="80" t="s">
        <v>57</v>
      </c>
    </row>
    <row r="22" spans="1:9" s="34" customFormat="1" ht="63.75">
      <c r="A22" s="81">
        <v>21</v>
      </c>
      <c r="B22" s="77" t="s">
        <v>60</v>
      </c>
      <c r="C22" s="130" t="s">
        <v>61</v>
      </c>
      <c r="D22" s="91" t="s">
        <v>62</v>
      </c>
      <c r="E22" s="78">
        <v>0</v>
      </c>
      <c r="F22" s="88">
        <v>63883000</v>
      </c>
      <c r="G22" s="89">
        <v>56239000</v>
      </c>
      <c r="H22" s="90">
        <v>54601000</v>
      </c>
      <c r="I22" s="80" t="s">
        <v>57</v>
      </c>
    </row>
    <row r="23" spans="1:9" s="34" customFormat="1" ht="63.75">
      <c r="A23" s="81">
        <v>22</v>
      </c>
      <c r="B23" s="77" t="s">
        <v>63</v>
      </c>
      <c r="C23" s="131"/>
      <c r="D23" s="91" t="s">
        <v>64</v>
      </c>
      <c r="E23" s="78">
        <v>0</v>
      </c>
      <c r="F23" s="88">
        <v>64077000</v>
      </c>
      <c r="G23" s="89">
        <v>56410000</v>
      </c>
      <c r="H23" s="90">
        <v>54767000</v>
      </c>
      <c r="I23" s="80" t="s">
        <v>57</v>
      </c>
    </row>
    <row r="24" spans="1:9" s="34" customFormat="1" ht="63.75">
      <c r="A24" s="81">
        <v>23</v>
      </c>
      <c r="B24" s="77" t="s">
        <v>65</v>
      </c>
      <c r="C24" s="130" t="s">
        <v>66</v>
      </c>
      <c r="D24" s="83" t="s">
        <v>67</v>
      </c>
      <c r="E24" s="78">
        <v>0</v>
      </c>
      <c r="F24" s="88">
        <v>60555000</v>
      </c>
      <c r="G24" s="89">
        <v>53309000</v>
      </c>
      <c r="H24" s="90">
        <v>51756000</v>
      </c>
      <c r="I24" s="78" t="s">
        <v>4</v>
      </c>
    </row>
    <row r="25" spans="1:9" s="34" customFormat="1" ht="63.75">
      <c r="A25" s="81">
        <v>24</v>
      </c>
      <c r="B25" s="77" t="s">
        <v>68</v>
      </c>
      <c r="C25" s="131"/>
      <c r="D25" s="83" t="s">
        <v>69</v>
      </c>
      <c r="E25" s="78">
        <v>0</v>
      </c>
      <c r="F25" s="88">
        <v>60943000</v>
      </c>
      <c r="G25" s="89">
        <v>53651000</v>
      </c>
      <c r="H25" s="90">
        <v>52088000</v>
      </c>
      <c r="I25" s="78" t="s">
        <v>4</v>
      </c>
    </row>
    <row r="26" spans="1:9" s="34" customFormat="1" ht="63.75">
      <c r="A26" s="81">
        <v>25</v>
      </c>
      <c r="B26" s="77" t="s">
        <v>70</v>
      </c>
      <c r="C26" s="130" t="s">
        <v>71</v>
      </c>
      <c r="D26" s="83" t="s">
        <v>72</v>
      </c>
      <c r="E26" s="78">
        <v>0</v>
      </c>
      <c r="F26" s="88">
        <v>48857000</v>
      </c>
      <c r="G26" s="89">
        <v>43011000</v>
      </c>
      <c r="H26" s="90">
        <v>41758000</v>
      </c>
      <c r="I26" s="78" t="s">
        <v>4</v>
      </c>
    </row>
    <row r="27" spans="1:9" s="34" customFormat="1" ht="63.75">
      <c r="A27" s="81">
        <v>26</v>
      </c>
      <c r="B27" s="77" t="s">
        <v>73</v>
      </c>
      <c r="C27" s="131"/>
      <c r="D27" s="91" t="s">
        <v>74</v>
      </c>
      <c r="E27" s="78">
        <v>0</v>
      </c>
      <c r="F27" s="88">
        <v>49665000</v>
      </c>
      <c r="G27" s="89">
        <v>43722000</v>
      </c>
      <c r="H27" s="90">
        <v>42449000</v>
      </c>
      <c r="I27" s="80" t="s">
        <v>57</v>
      </c>
    </row>
    <row r="28" spans="1:9" s="34" customFormat="1" ht="63.75">
      <c r="A28" s="81">
        <v>27</v>
      </c>
      <c r="B28" s="77" t="s">
        <v>75</v>
      </c>
      <c r="C28" s="130" t="s">
        <v>76</v>
      </c>
      <c r="D28" s="83" t="s">
        <v>77</v>
      </c>
      <c r="E28" s="78">
        <v>0</v>
      </c>
      <c r="F28" s="88">
        <v>45206000</v>
      </c>
      <c r="G28" s="89">
        <v>39797000</v>
      </c>
      <c r="H28" s="90">
        <v>38638000</v>
      </c>
      <c r="I28" s="78" t="s">
        <v>4</v>
      </c>
    </row>
    <row r="29" spans="1:9" s="34" customFormat="1" ht="84" customHeight="1">
      <c r="A29" s="81">
        <v>28</v>
      </c>
      <c r="B29" s="77" t="s">
        <v>78</v>
      </c>
      <c r="C29" s="131"/>
      <c r="D29" s="83" t="s">
        <v>79</v>
      </c>
      <c r="E29" s="78">
        <v>0</v>
      </c>
      <c r="F29" s="88">
        <v>45981000</v>
      </c>
      <c r="G29" s="89">
        <v>40479000</v>
      </c>
      <c r="H29" s="90">
        <v>39300000</v>
      </c>
      <c r="I29" s="78" t="s">
        <v>4</v>
      </c>
    </row>
    <row r="30" spans="1:9" s="34" customFormat="1" ht="63.75">
      <c r="A30" s="81">
        <v>29</v>
      </c>
      <c r="B30" s="77" t="s">
        <v>80</v>
      </c>
      <c r="C30" s="130" t="s">
        <v>81</v>
      </c>
      <c r="D30" s="91" t="s">
        <v>82</v>
      </c>
      <c r="E30" s="78">
        <v>0</v>
      </c>
      <c r="F30" s="88">
        <v>69925000</v>
      </c>
      <c r="G30" s="89">
        <v>61558000</v>
      </c>
      <c r="H30" s="90">
        <v>59765000</v>
      </c>
      <c r="I30" s="78" t="s">
        <v>4</v>
      </c>
    </row>
    <row r="31" spans="1:9" s="34" customFormat="1" ht="63.75">
      <c r="A31" s="81">
        <v>30</v>
      </c>
      <c r="B31" s="77" t="s">
        <v>83</v>
      </c>
      <c r="C31" s="132"/>
      <c r="D31" s="91" t="s">
        <v>84</v>
      </c>
      <c r="E31" s="78">
        <v>0</v>
      </c>
      <c r="F31" s="88">
        <v>70636000</v>
      </c>
      <c r="G31" s="89">
        <v>62184000</v>
      </c>
      <c r="H31" s="90">
        <v>60373000</v>
      </c>
      <c r="I31" s="78" t="s">
        <v>4</v>
      </c>
    </row>
    <row r="32" spans="1:9" s="34" customFormat="1" ht="63.75">
      <c r="A32" s="81">
        <v>31</v>
      </c>
      <c r="B32" s="77" t="s">
        <v>85</v>
      </c>
      <c r="C32" s="130" t="s">
        <v>86</v>
      </c>
      <c r="D32" s="83" t="s">
        <v>87</v>
      </c>
      <c r="E32" s="78">
        <v>0</v>
      </c>
      <c r="F32" s="88">
        <v>69151000</v>
      </c>
      <c r="G32" s="89">
        <v>60876000</v>
      </c>
      <c r="H32" s="90">
        <v>59103000</v>
      </c>
      <c r="I32" s="78" t="s">
        <v>4</v>
      </c>
    </row>
    <row r="33" spans="1:9" s="34" customFormat="1" ht="63.75">
      <c r="A33" s="81">
        <v>32</v>
      </c>
      <c r="B33" s="77" t="s">
        <v>88</v>
      </c>
      <c r="C33" s="131"/>
      <c r="D33" s="91" t="s">
        <v>89</v>
      </c>
      <c r="E33" s="78">
        <v>0</v>
      </c>
      <c r="F33" s="88">
        <v>69861000</v>
      </c>
      <c r="G33" s="89">
        <v>61501000</v>
      </c>
      <c r="H33" s="90">
        <v>59710000</v>
      </c>
      <c r="I33" s="78" t="s">
        <v>4</v>
      </c>
    </row>
    <row r="34" spans="1:9" s="34" customFormat="1" ht="63.75">
      <c r="A34" s="81">
        <v>33</v>
      </c>
      <c r="B34" s="77" t="s">
        <v>90</v>
      </c>
      <c r="C34" s="130" t="s">
        <v>91</v>
      </c>
      <c r="D34" s="83" t="s">
        <v>92</v>
      </c>
      <c r="E34" s="78">
        <v>0</v>
      </c>
      <c r="F34" s="88">
        <v>93385000</v>
      </c>
      <c r="G34" s="89">
        <v>82210000</v>
      </c>
      <c r="H34" s="90">
        <v>79816000</v>
      </c>
      <c r="I34" s="78" t="s">
        <v>4</v>
      </c>
    </row>
    <row r="35" spans="1:9" s="34" customFormat="1" ht="63.75">
      <c r="A35" s="81">
        <v>34</v>
      </c>
      <c r="B35" s="77" t="s">
        <v>93</v>
      </c>
      <c r="C35" s="131"/>
      <c r="D35" s="83" t="s">
        <v>94</v>
      </c>
      <c r="E35" s="78">
        <v>0</v>
      </c>
      <c r="F35" s="88">
        <v>93029000</v>
      </c>
      <c r="G35" s="89">
        <v>81897000</v>
      </c>
      <c r="H35" s="90">
        <v>79512000</v>
      </c>
      <c r="I35" s="78" t="s">
        <v>4</v>
      </c>
    </row>
    <row r="36" spans="1:9" s="34" customFormat="1" ht="63.75">
      <c r="A36" s="81">
        <v>35</v>
      </c>
      <c r="B36" s="77" t="s">
        <v>95</v>
      </c>
      <c r="C36" s="130" t="s">
        <v>96</v>
      </c>
      <c r="D36" s="83" t="s">
        <v>97</v>
      </c>
      <c r="E36" s="78">
        <v>0</v>
      </c>
      <c r="F36" s="88">
        <v>101139000</v>
      </c>
      <c r="G36" s="89">
        <v>89037000</v>
      </c>
      <c r="H36" s="90">
        <v>86444000</v>
      </c>
      <c r="I36" s="78" t="s">
        <v>4</v>
      </c>
    </row>
    <row r="37" spans="1:9" s="34" customFormat="1" ht="63.75">
      <c r="A37" s="81">
        <v>36</v>
      </c>
      <c r="B37" s="77" t="s">
        <v>98</v>
      </c>
      <c r="C37" s="132"/>
      <c r="D37" s="83" t="s">
        <v>99</v>
      </c>
      <c r="E37" s="78">
        <v>0</v>
      </c>
      <c r="F37" s="88">
        <v>103079000</v>
      </c>
      <c r="G37" s="89">
        <v>90745000</v>
      </c>
      <c r="H37" s="90">
        <v>88102000</v>
      </c>
      <c r="I37" s="78" t="s">
        <v>4</v>
      </c>
    </row>
    <row r="38" spans="1:9" s="34" customFormat="1" ht="63.75">
      <c r="A38" s="81">
        <v>37</v>
      </c>
      <c r="B38" s="77" t="s">
        <v>100</v>
      </c>
      <c r="C38" s="131"/>
      <c r="D38" s="91" t="s">
        <v>101</v>
      </c>
      <c r="E38" s="78">
        <v>0</v>
      </c>
      <c r="F38" s="88">
        <v>102012000</v>
      </c>
      <c r="G38" s="89">
        <v>89806000</v>
      </c>
      <c r="H38" s="90">
        <v>87190000</v>
      </c>
      <c r="I38" s="80" t="s">
        <v>57</v>
      </c>
    </row>
    <row r="39" spans="1:9" s="34" customFormat="1" ht="63.75">
      <c r="A39" s="81">
        <v>38</v>
      </c>
      <c r="B39" s="77" t="s">
        <v>102</v>
      </c>
      <c r="C39" s="130" t="s">
        <v>103</v>
      </c>
      <c r="D39" s="83" t="s">
        <v>104</v>
      </c>
      <c r="E39" s="78">
        <v>0</v>
      </c>
      <c r="F39" s="88">
        <v>98264000</v>
      </c>
      <c r="G39" s="89">
        <v>86506000</v>
      </c>
      <c r="H39" s="90">
        <v>83986000</v>
      </c>
      <c r="I39" s="78" t="s">
        <v>4</v>
      </c>
    </row>
    <row r="40" spans="1:9" s="34" customFormat="1" ht="63.75">
      <c r="A40" s="81">
        <v>39</v>
      </c>
      <c r="B40" s="77" t="s">
        <v>105</v>
      </c>
      <c r="C40" s="131"/>
      <c r="D40" s="91" t="s">
        <v>106</v>
      </c>
      <c r="E40" s="78">
        <v>0</v>
      </c>
      <c r="F40" s="88">
        <v>98652000</v>
      </c>
      <c r="G40" s="89">
        <v>86848000</v>
      </c>
      <c r="H40" s="90">
        <v>84318000</v>
      </c>
      <c r="I40" s="80" t="s">
        <v>57</v>
      </c>
    </row>
    <row r="41" spans="1:9" s="34" customFormat="1" ht="63.75">
      <c r="A41" s="81">
        <v>40</v>
      </c>
      <c r="B41" s="77" t="s">
        <v>107</v>
      </c>
      <c r="C41" s="87" t="s">
        <v>108</v>
      </c>
      <c r="D41" s="83" t="s">
        <v>109</v>
      </c>
      <c r="E41" s="78">
        <v>0</v>
      </c>
      <c r="F41" s="88">
        <v>100203000</v>
      </c>
      <c r="G41" s="89">
        <v>88213000</v>
      </c>
      <c r="H41" s="90">
        <v>85644000</v>
      </c>
      <c r="I41" s="78" t="s">
        <v>4</v>
      </c>
    </row>
    <row r="42" spans="1:9" s="34" customFormat="1" ht="63.75">
      <c r="A42" s="81">
        <v>41</v>
      </c>
      <c r="B42" s="77" t="s">
        <v>110</v>
      </c>
      <c r="C42" s="130" t="s">
        <v>111</v>
      </c>
      <c r="D42" s="83" t="s">
        <v>112</v>
      </c>
      <c r="E42" s="78">
        <v>0</v>
      </c>
      <c r="F42" s="88">
        <v>146055000</v>
      </c>
      <c r="G42" s="89">
        <v>128578000</v>
      </c>
      <c r="H42" s="90">
        <v>124833000</v>
      </c>
      <c r="I42" s="78" t="s">
        <v>4</v>
      </c>
    </row>
    <row r="43" spans="1:9" s="34" customFormat="1" ht="76.5">
      <c r="A43" s="81">
        <v>42</v>
      </c>
      <c r="B43" s="77" t="s">
        <v>113</v>
      </c>
      <c r="C43" s="131"/>
      <c r="D43" s="83" t="s">
        <v>114</v>
      </c>
      <c r="E43" s="78">
        <v>0</v>
      </c>
      <c r="F43" s="88">
        <v>145344000</v>
      </c>
      <c r="G43" s="89">
        <v>127953000</v>
      </c>
      <c r="H43" s="90">
        <v>124226000</v>
      </c>
      <c r="I43" s="80" t="s">
        <v>57</v>
      </c>
    </row>
    <row r="44" spans="1:9" s="34" customFormat="1" ht="51">
      <c r="A44" s="81">
        <v>43</v>
      </c>
      <c r="B44" s="77" t="s">
        <v>115</v>
      </c>
      <c r="C44" s="130" t="s">
        <v>116</v>
      </c>
      <c r="D44" s="83" t="s">
        <v>117</v>
      </c>
      <c r="E44" s="78">
        <v>0</v>
      </c>
      <c r="F44" s="88">
        <v>104015000</v>
      </c>
      <c r="G44" s="89">
        <v>91569000</v>
      </c>
      <c r="H44" s="90">
        <v>88902000</v>
      </c>
      <c r="I44" s="80" t="s">
        <v>57</v>
      </c>
    </row>
    <row r="45" spans="1:9" s="34" customFormat="1" ht="51">
      <c r="A45" s="81">
        <v>44</v>
      </c>
      <c r="B45" s="77" t="s">
        <v>118</v>
      </c>
      <c r="C45" s="132"/>
      <c r="D45" s="83" t="s">
        <v>119</v>
      </c>
      <c r="E45" s="78">
        <v>0</v>
      </c>
      <c r="F45" s="88">
        <v>105050000</v>
      </c>
      <c r="G45" s="89">
        <v>92480000</v>
      </c>
      <c r="H45" s="90">
        <v>89786000</v>
      </c>
      <c r="I45" s="80" t="s">
        <v>57</v>
      </c>
    </row>
    <row r="46" spans="1:9" s="34" customFormat="1" ht="51">
      <c r="A46" s="81">
        <v>45</v>
      </c>
      <c r="B46" s="77" t="s">
        <v>120</v>
      </c>
      <c r="C46" s="131"/>
      <c r="D46" s="83" t="s">
        <v>121</v>
      </c>
      <c r="E46" s="78">
        <v>0</v>
      </c>
      <c r="F46" s="88">
        <v>101205000</v>
      </c>
      <c r="G46" s="89">
        <v>89095000</v>
      </c>
      <c r="H46" s="90">
        <v>86500000</v>
      </c>
      <c r="I46" s="78" t="s">
        <v>4</v>
      </c>
    </row>
    <row r="47" spans="1:9" s="34" customFormat="1" ht="63.75">
      <c r="A47" s="81">
        <v>46</v>
      </c>
      <c r="B47" s="77" t="s">
        <v>122</v>
      </c>
      <c r="C47" s="127" t="s">
        <v>123</v>
      </c>
      <c r="D47" s="83" t="s">
        <v>124</v>
      </c>
      <c r="E47" s="78">
        <v>0</v>
      </c>
      <c r="F47" s="88">
        <v>73028000</v>
      </c>
      <c r="G47" s="89">
        <v>64290000</v>
      </c>
      <c r="H47" s="90">
        <v>62417000</v>
      </c>
      <c r="I47" s="80" t="s">
        <v>57</v>
      </c>
    </row>
    <row r="48" spans="1:9" s="34" customFormat="1" ht="51">
      <c r="A48" s="81">
        <v>47</v>
      </c>
      <c r="B48" s="77" t="s">
        <v>125</v>
      </c>
      <c r="C48" s="128"/>
      <c r="D48" s="83" t="s">
        <v>126</v>
      </c>
      <c r="E48" s="78">
        <v>0</v>
      </c>
      <c r="F48" s="88">
        <v>106310000</v>
      </c>
      <c r="G48" s="89">
        <v>93589000</v>
      </c>
      <c r="H48" s="90">
        <v>90863000</v>
      </c>
      <c r="I48" s="80" t="s">
        <v>57</v>
      </c>
    </row>
    <row r="49" spans="1:9" s="34" customFormat="1" ht="63.75">
      <c r="A49" s="81">
        <v>48</v>
      </c>
      <c r="B49" s="77" t="s">
        <v>127</v>
      </c>
      <c r="C49" s="129"/>
      <c r="D49" s="83" t="s">
        <v>128</v>
      </c>
      <c r="E49" s="78">
        <v>0</v>
      </c>
      <c r="F49" s="88">
        <v>135068000</v>
      </c>
      <c r="G49" s="89">
        <v>118906000</v>
      </c>
      <c r="H49" s="90">
        <v>115443000</v>
      </c>
      <c r="I49" s="80" t="s">
        <v>57</v>
      </c>
    </row>
  </sheetData>
  <mergeCells count="21">
    <mergeCell ref="C47:C49"/>
    <mergeCell ref="C34:C35"/>
    <mergeCell ref="C36:C38"/>
    <mergeCell ref="C39:C40"/>
    <mergeCell ref="C42:C43"/>
    <mergeCell ref="C44:C46"/>
    <mergeCell ref="C24:C25"/>
    <mergeCell ref="C26:C27"/>
    <mergeCell ref="C28:C29"/>
    <mergeCell ref="C30:C31"/>
    <mergeCell ref="C32:C33"/>
    <mergeCell ref="C14:C15"/>
    <mergeCell ref="C16:C17"/>
    <mergeCell ref="C18:C19"/>
    <mergeCell ref="C20:C21"/>
    <mergeCell ref="C22:C23"/>
    <mergeCell ref="C2:C3"/>
    <mergeCell ref="C4:C6"/>
    <mergeCell ref="C7:C8"/>
    <mergeCell ref="C9:C10"/>
    <mergeCell ref="C11:C13"/>
  </mergeCells>
  <conditionalFormatting sqref="B1">
    <cfRule type="duplicateValues" dxfId="190" priority="168" stopIfTrue="1"/>
    <cfRule type="duplicateValues" dxfId="189" priority="169" stopIfTrue="1"/>
    <cfRule type="duplicateValues" dxfId="188" priority="170" stopIfTrue="1"/>
    <cfRule type="duplicateValues" dxfId="187" priority="171" stopIfTrue="1"/>
    <cfRule type="duplicateValues" dxfId="186" priority="172" stopIfTrue="1"/>
    <cfRule type="duplicateValues" dxfId="185" priority="173" stopIfTrue="1"/>
    <cfRule type="duplicateValues" dxfId="184" priority="174" stopIfTrue="1"/>
    <cfRule type="duplicateValues" dxfId="183" priority="175" stopIfTrue="1"/>
    <cfRule type="duplicateValues" dxfId="182" priority="176" stopIfTrue="1"/>
    <cfRule type="duplicateValues" dxfId="181" priority="177" stopIfTrue="1"/>
    <cfRule type="duplicateValues" dxfId="180" priority="178" stopIfTrue="1"/>
  </conditionalFormatting>
  <conditionalFormatting sqref="B11">
    <cfRule type="duplicateValues" dxfId="179" priority="64" stopIfTrue="1"/>
    <cfRule type="duplicateValues" dxfId="178" priority="65" stopIfTrue="1"/>
    <cfRule type="duplicateValues" dxfId="177" priority="66" stopIfTrue="1"/>
    <cfRule type="duplicateValues" dxfId="176" priority="67" stopIfTrue="1"/>
    <cfRule type="duplicateValues" dxfId="175" priority="68" stopIfTrue="1"/>
    <cfRule type="duplicateValues" dxfId="174" priority="69" stopIfTrue="1"/>
    <cfRule type="duplicateValues" dxfId="173" priority="70" stopIfTrue="1"/>
    <cfRule type="duplicateValues" dxfId="172" priority="71" stopIfTrue="1"/>
    <cfRule type="duplicateValues" dxfId="171" priority="72" stopIfTrue="1"/>
    <cfRule type="duplicateValues" dxfId="170" priority="73" stopIfTrue="1"/>
    <cfRule type="duplicateValues" dxfId="169" priority="74" stopIfTrue="1"/>
    <cfRule type="duplicateValues" dxfId="168" priority="75" stopIfTrue="1"/>
    <cfRule type="duplicateValues" dxfId="167" priority="76" stopIfTrue="1"/>
    <cfRule type="duplicateValues" dxfId="166" priority="77" stopIfTrue="1"/>
    <cfRule type="duplicateValues" dxfId="165" priority="78" stopIfTrue="1"/>
    <cfRule type="duplicateValues" dxfId="164" priority="79" stopIfTrue="1"/>
    <cfRule type="duplicateValues" dxfId="163" priority="80" stopIfTrue="1"/>
    <cfRule type="duplicateValues" dxfId="162" priority="81" stopIfTrue="1"/>
    <cfRule type="duplicateValues" dxfId="161" priority="82" stopIfTrue="1"/>
    <cfRule type="duplicateValues" dxfId="160" priority="83" stopIfTrue="1"/>
    <cfRule type="duplicateValues" dxfId="159" priority="84" stopIfTrue="1"/>
    <cfRule type="duplicateValues" dxfId="158" priority="85" stopIfTrue="1"/>
    <cfRule type="duplicateValues" dxfId="157" priority="86" stopIfTrue="1"/>
    <cfRule type="duplicateValues" dxfId="156" priority="87" stopIfTrue="1"/>
    <cfRule type="duplicateValues" dxfId="155" priority="88" stopIfTrue="1"/>
    <cfRule type="duplicateValues" dxfId="154" priority="89" stopIfTrue="1"/>
    <cfRule type="duplicateValues" dxfId="153" priority="90" stopIfTrue="1"/>
    <cfRule type="duplicateValues" dxfId="152" priority="91" stopIfTrue="1"/>
    <cfRule type="duplicateValues" dxfId="151" priority="92" stopIfTrue="1"/>
    <cfRule type="duplicateValues" dxfId="150" priority="93" stopIfTrue="1"/>
    <cfRule type="duplicateValues" dxfId="149" priority="94" stopIfTrue="1"/>
    <cfRule type="duplicateValues" dxfId="148" priority="95" stopIfTrue="1"/>
    <cfRule type="duplicateValues" dxfId="147" priority="96" stopIfTrue="1"/>
    <cfRule type="duplicateValues" dxfId="146" priority="97" stopIfTrue="1"/>
    <cfRule type="duplicateValues" dxfId="145" priority="98" stopIfTrue="1"/>
  </conditionalFormatting>
  <conditionalFormatting sqref="B12">
    <cfRule type="duplicateValues" dxfId="144" priority="28" stopIfTrue="1"/>
    <cfRule type="duplicateValues" dxfId="143" priority="29" stopIfTrue="1"/>
    <cfRule type="duplicateValues" dxfId="142" priority="30" stopIfTrue="1"/>
    <cfRule type="duplicateValues" dxfId="141" priority="31" stopIfTrue="1"/>
    <cfRule type="duplicateValues" dxfId="140" priority="32" stopIfTrue="1"/>
    <cfRule type="duplicateValues" dxfId="139" priority="33" stopIfTrue="1"/>
    <cfRule type="duplicateValues" dxfId="138" priority="34" stopIfTrue="1"/>
    <cfRule type="duplicateValues" dxfId="137" priority="35" stopIfTrue="1"/>
    <cfRule type="duplicateValues" dxfId="136" priority="36" stopIfTrue="1"/>
    <cfRule type="duplicateValues" dxfId="135" priority="37" stopIfTrue="1"/>
    <cfRule type="duplicateValues" dxfId="134" priority="38" stopIfTrue="1"/>
    <cfRule type="duplicateValues" dxfId="133" priority="39" stopIfTrue="1"/>
    <cfRule type="duplicateValues" dxfId="132" priority="40" stopIfTrue="1"/>
    <cfRule type="duplicateValues" dxfId="131" priority="41" stopIfTrue="1"/>
    <cfRule type="duplicateValues" dxfId="130" priority="42" stopIfTrue="1"/>
    <cfRule type="duplicateValues" dxfId="129" priority="43" stopIfTrue="1"/>
    <cfRule type="duplicateValues" dxfId="128" priority="44" stopIfTrue="1"/>
    <cfRule type="duplicateValues" dxfId="127" priority="45" stopIfTrue="1"/>
    <cfRule type="duplicateValues" dxfId="126" priority="46" stopIfTrue="1"/>
    <cfRule type="duplicateValues" dxfId="125" priority="53" stopIfTrue="1"/>
    <cfRule type="duplicateValues" dxfId="124" priority="54" stopIfTrue="1"/>
    <cfRule type="duplicateValues" dxfId="123" priority="55" stopIfTrue="1"/>
    <cfRule type="duplicateValues" dxfId="122" priority="56" stopIfTrue="1"/>
    <cfRule type="duplicateValues" dxfId="121" priority="57" stopIfTrue="1"/>
    <cfRule type="duplicateValues" dxfId="120" priority="58" stopIfTrue="1"/>
  </conditionalFormatting>
  <conditionalFormatting sqref="B12:B13">
    <cfRule type="duplicateValues" dxfId="119" priority="1" stopIfTrue="1"/>
    <cfRule type="duplicateValues" dxfId="118" priority="2" stopIfTrue="1"/>
    <cfRule type="duplicateValues" dxfId="117" priority="47" stopIfTrue="1"/>
    <cfRule type="duplicateValues" dxfId="116" priority="48" stopIfTrue="1"/>
    <cfRule type="duplicateValues" dxfId="115" priority="49" stopIfTrue="1"/>
    <cfRule type="duplicateValues" dxfId="114" priority="50" stopIfTrue="1"/>
    <cfRule type="duplicateValues" dxfId="113" priority="51" stopIfTrue="1"/>
    <cfRule type="duplicateValues" dxfId="112" priority="52" stopIfTrue="1"/>
    <cfRule type="duplicateValues" dxfId="111" priority="59" stopIfTrue="1"/>
    <cfRule type="duplicateValues" dxfId="110" priority="60" stopIfTrue="1"/>
    <cfRule type="duplicateValues" dxfId="109" priority="61" stopIfTrue="1"/>
    <cfRule type="duplicateValues" dxfId="108" priority="62" stopIfTrue="1"/>
    <cfRule type="duplicateValues" dxfId="107" priority="63" stopIfTrue="1"/>
  </conditionalFormatting>
  <conditionalFormatting sqref="B13">
    <cfRule type="duplicateValues" dxfId="106" priority="3" stopIfTrue="1"/>
    <cfRule type="duplicateValues" dxfId="105" priority="4" stopIfTrue="1"/>
    <cfRule type="duplicateValues" dxfId="104" priority="5" stopIfTrue="1"/>
    <cfRule type="duplicateValues" dxfId="103" priority="6" stopIfTrue="1"/>
    <cfRule type="duplicateValues" dxfId="102" priority="7" stopIfTrue="1"/>
    <cfRule type="duplicateValues" dxfId="101" priority="8" stopIfTrue="1"/>
    <cfRule type="duplicateValues" dxfId="100" priority="9" stopIfTrue="1"/>
    <cfRule type="duplicateValues" dxfId="99" priority="10" stopIfTrue="1"/>
    <cfRule type="duplicateValues" dxfId="98" priority="11" stopIfTrue="1"/>
    <cfRule type="duplicateValues" dxfId="97" priority="12" stopIfTrue="1"/>
    <cfRule type="duplicateValues" dxfId="96" priority="13" stopIfTrue="1"/>
    <cfRule type="duplicateValues" dxfId="95" priority="14" stopIfTrue="1"/>
    <cfRule type="duplicateValues" dxfId="94" priority="15" stopIfTrue="1"/>
    <cfRule type="duplicateValues" dxfId="93" priority="16" stopIfTrue="1"/>
    <cfRule type="duplicateValues" dxfId="92" priority="17" stopIfTrue="1"/>
    <cfRule type="duplicateValues" dxfId="91" priority="18" stopIfTrue="1"/>
    <cfRule type="duplicateValues" dxfId="90" priority="19" stopIfTrue="1"/>
    <cfRule type="duplicateValues" dxfId="89" priority="20" stopIfTrue="1"/>
    <cfRule type="duplicateValues" dxfId="88" priority="21" stopIfTrue="1"/>
    <cfRule type="duplicateValues" dxfId="87" priority="22" stopIfTrue="1"/>
    <cfRule type="duplicateValues" dxfId="86" priority="23" stopIfTrue="1"/>
    <cfRule type="duplicateValues" dxfId="85" priority="24" stopIfTrue="1"/>
    <cfRule type="duplicateValues" dxfId="84" priority="25" stopIfTrue="1"/>
    <cfRule type="duplicateValues" dxfId="83" priority="26" stopIfTrue="1"/>
    <cfRule type="duplicateValues" dxfId="82" priority="27" stopIfTrue="1"/>
  </conditionalFormatting>
  <conditionalFormatting sqref="B14">
    <cfRule type="duplicateValues" dxfId="81" priority="146" stopIfTrue="1"/>
    <cfRule type="duplicateValues" dxfId="80" priority="147" stopIfTrue="1"/>
    <cfRule type="duplicateValues" dxfId="79" priority="148" stopIfTrue="1"/>
    <cfRule type="duplicateValues" dxfId="78" priority="149" stopIfTrue="1"/>
    <cfRule type="duplicateValues" dxfId="77" priority="150" stopIfTrue="1"/>
    <cfRule type="duplicateValues" dxfId="76" priority="151" stopIfTrue="1"/>
    <cfRule type="duplicateValues" dxfId="75" priority="152" stopIfTrue="1"/>
    <cfRule type="duplicateValues" dxfId="74" priority="153" stopIfTrue="1"/>
    <cfRule type="duplicateValues" dxfId="73" priority="154" stopIfTrue="1"/>
    <cfRule type="duplicateValues" dxfId="72" priority="155" stopIfTrue="1"/>
    <cfRule type="duplicateValues" dxfId="71" priority="156" stopIfTrue="1"/>
    <cfRule type="duplicateValues" dxfId="70" priority="157" stopIfTrue="1"/>
    <cfRule type="duplicateValues" dxfId="69" priority="158" stopIfTrue="1"/>
    <cfRule type="duplicateValues" dxfId="68" priority="159" stopIfTrue="1"/>
    <cfRule type="duplicateValues" dxfId="67" priority="160" stopIfTrue="1"/>
    <cfRule type="duplicateValues" dxfId="66" priority="161" stopIfTrue="1"/>
  </conditionalFormatting>
  <conditionalFormatting sqref="B14:B49">
    <cfRule type="duplicateValues" dxfId="65" priority="99" stopIfTrue="1"/>
    <cfRule type="duplicateValues" dxfId="64" priority="100" stopIfTrue="1"/>
  </conditionalFormatting>
  <conditionalFormatting sqref="B15:B38">
    <cfRule type="duplicateValues" dxfId="63" priority="162" stopIfTrue="1"/>
    <cfRule type="duplicateValues" dxfId="62" priority="163" stopIfTrue="1"/>
    <cfRule type="duplicateValues" dxfId="61" priority="164" stopIfTrue="1"/>
    <cfRule type="duplicateValues" dxfId="60" priority="165" stopIfTrue="1"/>
    <cfRule type="duplicateValues" dxfId="59" priority="166" stopIfTrue="1"/>
    <cfRule type="duplicateValues" dxfId="58" priority="167" stopIfTrue="1"/>
  </conditionalFormatting>
  <conditionalFormatting sqref="B39:B43">
    <cfRule type="duplicateValues" dxfId="57" priority="107" stopIfTrue="1"/>
    <cfRule type="duplicateValues" dxfId="56" priority="108" stopIfTrue="1"/>
    <cfRule type="duplicateValues" dxfId="55" priority="109" stopIfTrue="1"/>
    <cfRule type="duplicateValues" dxfId="54" priority="110" stopIfTrue="1"/>
    <cfRule type="duplicateValues" dxfId="53" priority="111" stopIfTrue="1"/>
    <cfRule type="duplicateValues" dxfId="52" priority="112" stopIfTrue="1"/>
    <cfRule type="duplicateValues" dxfId="51" priority="113" stopIfTrue="1"/>
    <cfRule type="duplicateValues" dxfId="50" priority="114" stopIfTrue="1"/>
    <cfRule type="duplicateValues" dxfId="49" priority="115" stopIfTrue="1"/>
    <cfRule type="duplicateValues" dxfId="48" priority="116" stopIfTrue="1"/>
    <cfRule type="duplicateValues" dxfId="47" priority="117" stopIfTrue="1"/>
    <cfRule type="duplicateValues" dxfId="46" priority="118" stopIfTrue="1"/>
    <cfRule type="duplicateValues" dxfId="45" priority="119" stopIfTrue="1"/>
    <cfRule type="duplicateValues" dxfId="44" priority="120" stopIfTrue="1"/>
    <cfRule type="duplicateValues" dxfId="43" priority="121" stopIfTrue="1"/>
    <cfRule type="duplicateValues" dxfId="42" priority="122" stopIfTrue="1"/>
    <cfRule type="duplicateValues" dxfId="41" priority="123" stopIfTrue="1"/>
    <cfRule type="duplicateValues" dxfId="40" priority="124" stopIfTrue="1"/>
    <cfRule type="duplicateValues" dxfId="39" priority="125" stopIfTrue="1"/>
    <cfRule type="duplicateValues" dxfId="38" priority="126" stopIfTrue="1"/>
    <cfRule type="duplicateValues" dxfId="37" priority="127" stopIfTrue="1"/>
    <cfRule type="duplicateValues" dxfId="36" priority="128" stopIfTrue="1"/>
    <cfRule type="duplicateValues" dxfId="35" priority="129" stopIfTrue="1"/>
    <cfRule type="duplicateValues" dxfId="34" priority="130" stopIfTrue="1"/>
    <cfRule type="duplicateValues" dxfId="33" priority="131" stopIfTrue="1"/>
    <cfRule type="duplicateValues" dxfId="32" priority="132" stopIfTrue="1"/>
    <cfRule type="duplicateValues" dxfId="31" priority="133" stopIfTrue="1"/>
    <cfRule type="duplicateValues" dxfId="30" priority="134" stopIfTrue="1"/>
    <cfRule type="duplicateValues" dxfId="29" priority="135" stopIfTrue="1"/>
    <cfRule type="duplicateValues" dxfId="28" priority="136" stopIfTrue="1"/>
    <cfRule type="duplicateValues" dxfId="27" priority="137" stopIfTrue="1"/>
    <cfRule type="duplicateValues" dxfId="26" priority="138" stopIfTrue="1"/>
    <cfRule type="duplicateValues" dxfId="25" priority="139" stopIfTrue="1"/>
  </conditionalFormatting>
  <conditionalFormatting sqref="B44:B47 B15:B38 B49">
    <cfRule type="duplicateValues" dxfId="24" priority="140" stopIfTrue="1"/>
    <cfRule type="duplicateValues" dxfId="23" priority="141" stopIfTrue="1"/>
    <cfRule type="duplicateValues" dxfId="22" priority="142" stopIfTrue="1"/>
    <cfRule type="duplicateValues" dxfId="21" priority="143" stopIfTrue="1"/>
    <cfRule type="duplicateValues" dxfId="20" priority="144" stopIfTrue="1"/>
    <cfRule type="duplicateValues" dxfId="19" priority="145" stopIfTrue="1"/>
  </conditionalFormatting>
  <conditionalFormatting sqref="B48">
    <cfRule type="duplicateValues" dxfId="18" priority="101" stopIfTrue="1"/>
    <cfRule type="duplicateValues" dxfId="17" priority="102" stopIfTrue="1"/>
    <cfRule type="duplicateValues" dxfId="16" priority="103" stopIfTrue="1"/>
    <cfRule type="duplicateValues" dxfId="15" priority="104" stopIfTrue="1"/>
    <cfRule type="duplicateValues" dxfId="14" priority="105" stopIfTrue="1"/>
    <cfRule type="duplicateValues" dxfId="13" priority="106" stopIfTrue="1"/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K72"/>
  <sheetViews>
    <sheetView topLeftCell="C34" zoomScale="130" zoomScaleNormal="130" workbookViewId="0">
      <selection activeCell="A73" sqref="A73:XFD77"/>
    </sheetView>
  </sheetViews>
  <sheetFormatPr defaultColWidth="8.85546875" defaultRowHeight="15"/>
  <cols>
    <col min="2" max="2" width="23.28515625" bestFit="1" customWidth="1"/>
    <col min="3" max="3" width="23.42578125" bestFit="1" customWidth="1"/>
    <col min="4" max="4" width="69.42578125" bestFit="1" customWidth="1"/>
    <col min="6" max="6" width="18.140625" bestFit="1" customWidth="1"/>
    <col min="7" max="7" width="13.140625" bestFit="1" customWidth="1"/>
    <col min="8" max="8" width="16.7109375" bestFit="1" customWidth="1"/>
    <col min="9" max="9" width="23.42578125" bestFit="1" customWidth="1"/>
    <col min="10" max="10" width="17.28515625" customWidth="1"/>
  </cols>
  <sheetData>
    <row r="4" spans="1:11" ht="18.75" customHeight="1">
      <c r="A4" s="133" t="s">
        <v>0</v>
      </c>
      <c r="B4" s="135" t="s">
        <v>1</v>
      </c>
      <c r="C4" s="137" t="s">
        <v>2</v>
      </c>
      <c r="D4" s="139" t="s">
        <v>3</v>
      </c>
      <c r="E4" s="141" t="s">
        <v>4</v>
      </c>
      <c r="F4" s="145" t="s">
        <v>129</v>
      </c>
      <c r="G4" s="147" t="s">
        <v>130</v>
      </c>
      <c r="H4" s="149" t="s">
        <v>8</v>
      </c>
      <c r="I4" s="144" t="s">
        <v>131</v>
      </c>
      <c r="J4" s="144"/>
    </row>
    <row r="5" spans="1:11" s="7" customFormat="1" ht="51.75" customHeight="1">
      <c r="A5" s="134"/>
      <c r="B5" s="136"/>
      <c r="C5" s="138"/>
      <c r="D5" s="140"/>
      <c r="E5" s="142"/>
      <c r="F5" s="146"/>
      <c r="G5" s="148"/>
      <c r="H5" s="150"/>
      <c r="I5" s="97" t="s">
        <v>132</v>
      </c>
      <c r="J5" s="97" t="s">
        <v>133</v>
      </c>
    </row>
    <row r="6" spans="1:11" ht="31.5">
      <c r="A6" s="20">
        <v>1</v>
      </c>
      <c r="B6" s="21" t="s">
        <v>134</v>
      </c>
      <c r="C6" s="143" t="s">
        <v>135</v>
      </c>
      <c r="D6" s="19" t="s">
        <v>136</v>
      </c>
      <c r="E6" s="22">
        <v>8</v>
      </c>
      <c r="F6" s="23">
        <v>14000000</v>
      </c>
      <c r="G6" s="23">
        <v>13500000</v>
      </c>
      <c r="H6" s="24"/>
      <c r="I6" s="96"/>
      <c r="J6" s="96"/>
    </row>
    <row r="7" spans="1:11" ht="31.5">
      <c r="A7" s="20">
        <v>2</v>
      </c>
      <c r="B7" s="21" t="s">
        <v>137</v>
      </c>
      <c r="C7" s="143"/>
      <c r="D7" s="19" t="s">
        <v>138</v>
      </c>
      <c r="E7" s="22">
        <v>2</v>
      </c>
      <c r="F7" s="23">
        <v>14500000</v>
      </c>
      <c r="G7" s="23">
        <v>14000000</v>
      </c>
      <c r="H7" s="24"/>
      <c r="I7" s="23"/>
      <c r="J7" s="23"/>
    </row>
    <row r="8" spans="1:11" ht="31.5">
      <c r="A8" s="20">
        <v>3</v>
      </c>
      <c r="B8" s="21" t="s">
        <v>139</v>
      </c>
      <c r="C8" s="22" t="s">
        <v>140</v>
      </c>
      <c r="D8" s="19" t="s">
        <v>141</v>
      </c>
      <c r="E8" s="22">
        <v>5</v>
      </c>
      <c r="F8" s="23">
        <v>43000000</v>
      </c>
      <c r="G8" s="23">
        <v>30200000</v>
      </c>
      <c r="H8" s="24"/>
      <c r="I8" s="23"/>
      <c r="J8" s="23"/>
    </row>
    <row r="9" spans="1:11">
      <c r="A9" s="20">
        <v>4</v>
      </c>
      <c r="B9" s="105" t="s">
        <v>142</v>
      </c>
      <c r="C9" s="92" t="s">
        <v>143</v>
      </c>
      <c r="D9" s="93" t="s">
        <v>144</v>
      </c>
      <c r="E9" s="92">
        <v>0</v>
      </c>
      <c r="F9" s="94">
        <v>93854000</v>
      </c>
      <c r="G9" s="94">
        <v>81612000</v>
      </c>
      <c r="H9" s="24" t="s">
        <v>145</v>
      </c>
      <c r="I9" s="94"/>
      <c r="J9" s="94"/>
      <c r="K9" s="95"/>
    </row>
    <row r="10" spans="1:11">
      <c r="A10" s="20">
        <v>5</v>
      </c>
      <c r="B10" s="105" t="s">
        <v>142</v>
      </c>
      <c r="C10" s="92" t="s">
        <v>143</v>
      </c>
      <c r="D10" s="93" t="s">
        <v>144</v>
      </c>
      <c r="E10" s="92">
        <v>0</v>
      </c>
      <c r="F10" s="94">
        <v>103484000</v>
      </c>
      <c r="G10" s="94">
        <v>89986000</v>
      </c>
      <c r="H10" s="24" t="s">
        <v>145</v>
      </c>
      <c r="I10" s="94"/>
      <c r="J10" s="94"/>
    </row>
    <row r="11" spans="1:11">
      <c r="A11" s="20">
        <v>6</v>
      </c>
      <c r="B11" s="105" t="s">
        <v>142</v>
      </c>
      <c r="C11" s="92" t="s">
        <v>143</v>
      </c>
      <c r="D11" s="93" t="s">
        <v>146</v>
      </c>
      <c r="E11" s="92">
        <v>0</v>
      </c>
      <c r="F11" s="94">
        <v>85913000</v>
      </c>
      <c r="G11" s="94">
        <v>74707000</v>
      </c>
      <c r="H11" s="24" t="s">
        <v>145</v>
      </c>
      <c r="I11" s="94"/>
      <c r="J11" s="94"/>
    </row>
    <row r="12" spans="1:11">
      <c r="A12" s="20">
        <v>7</v>
      </c>
      <c r="B12" s="105" t="s">
        <v>142</v>
      </c>
      <c r="C12" s="92" t="s">
        <v>143</v>
      </c>
      <c r="D12" s="93" t="s">
        <v>146</v>
      </c>
      <c r="E12" s="92">
        <v>0</v>
      </c>
      <c r="F12" s="94">
        <v>95543000</v>
      </c>
      <c r="G12" s="94">
        <v>83081000</v>
      </c>
      <c r="H12" s="24" t="s">
        <v>145</v>
      </c>
      <c r="I12" s="94"/>
      <c r="J12" s="94"/>
    </row>
    <row r="13" spans="1:11">
      <c r="A13" s="20">
        <v>8</v>
      </c>
      <c r="B13" s="106" t="s">
        <v>147</v>
      </c>
      <c r="C13" s="22" t="s">
        <v>148</v>
      </c>
      <c r="D13" s="103" t="s">
        <v>149</v>
      </c>
      <c r="E13" s="92">
        <v>0</v>
      </c>
      <c r="F13" s="98">
        <v>74846000</v>
      </c>
      <c r="G13" s="98">
        <v>65084000</v>
      </c>
      <c r="H13" s="24" t="s">
        <v>145</v>
      </c>
      <c r="I13" s="98"/>
      <c r="J13" s="98"/>
    </row>
    <row r="14" spans="1:11">
      <c r="A14" s="20">
        <v>9</v>
      </c>
      <c r="B14" s="106" t="s">
        <v>147</v>
      </c>
      <c r="C14" s="22" t="s">
        <v>148</v>
      </c>
      <c r="D14" s="103" t="s">
        <v>150</v>
      </c>
      <c r="E14" s="92">
        <v>0</v>
      </c>
      <c r="F14" s="98">
        <v>92868000</v>
      </c>
      <c r="G14" s="98">
        <v>80755000</v>
      </c>
      <c r="H14" s="24" t="s">
        <v>145</v>
      </c>
      <c r="I14" s="98"/>
      <c r="J14" s="98"/>
    </row>
    <row r="15" spans="1:11">
      <c r="A15" s="20">
        <v>10</v>
      </c>
      <c r="B15" s="106" t="s">
        <v>151</v>
      </c>
      <c r="C15" s="22" t="s">
        <v>148</v>
      </c>
      <c r="D15" s="103" t="s">
        <v>152</v>
      </c>
      <c r="E15" s="92">
        <v>0</v>
      </c>
      <c r="F15" s="98">
        <v>74368000</v>
      </c>
      <c r="G15" s="98">
        <v>64668000</v>
      </c>
      <c r="H15" s="24" t="s">
        <v>145</v>
      </c>
      <c r="I15" s="98"/>
      <c r="J15" s="98"/>
    </row>
    <row r="16" spans="1:11">
      <c r="A16" s="20">
        <v>11</v>
      </c>
      <c r="B16" s="106" t="s">
        <v>151</v>
      </c>
      <c r="C16" s="22" t="s">
        <v>148</v>
      </c>
      <c r="D16" s="103" t="s">
        <v>153</v>
      </c>
      <c r="E16" s="92">
        <v>0</v>
      </c>
      <c r="F16" s="98">
        <v>92389000</v>
      </c>
      <c r="G16" s="98">
        <v>80339000</v>
      </c>
      <c r="H16" s="24" t="s">
        <v>145</v>
      </c>
      <c r="I16" s="98"/>
      <c r="J16" s="98"/>
    </row>
    <row r="17" spans="1:10">
      <c r="A17" s="20">
        <v>12</v>
      </c>
      <c r="B17" s="106" t="s">
        <v>154</v>
      </c>
      <c r="C17" s="22" t="s">
        <v>155</v>
      </c>
      <c r="D17" s="104" t="s">
        <v>156</v>
      </c>
      <c r="E17" s="92">
        <v>0</v>
      </c>
      <c r="F17" s="98">
        <v>80394000</v>
      </c>
      <c r="G17" s="98">
        <v>69908000</v>
      </c>
      <c r="H17" s="24"/>
      <c r="I17" s="98"/>
      <c r="J17" s="98"/>
    </row>
    <row r="18" spans="1:10">
      <c r="A18" s="20">
        <v>13</v>
      </c>
      <c r="B18" s="106" t="s">
        <v>154</v>
      </c>
      <c r="C18" s="22" t="s">
        <v>155</v>
      </c>
      <c r="D18" s="104" t="s">
        <v>157</v>
      </c>
      <c r="E18" s="92">
        <v>0</v>
      </c>
      <c r="F18" s="98">
        <v>90418000</v>
      </c>
      <c r="G18" s="98">
        <v>78625000</v>
      </c>
      <c r="H18" s="24"/>
      <c r="I18" s="98"/>
      <c r="J18" s="98"/>
    </row>
    <row r="19" spans="1:10">
      <c r="A19" s="20">
        <v>14</v>
      </c>
      <c r="B19" s="106" t="s">
        <v>158</v>
      </c>
      <c r="C19" s="22" t="s">
        <v>155</v>
      </c>
      <c r="D19" s="104" t="s">
        <v>159</v>
      </c>
      <c r="E19" s="92">
        <v>0</v>
      </c>
      <c r="F19" s="98">
        <v>79577000</v>
      </c>
      <c r="G19" s="98">
        <v>69197000</v>
      </c>
      <c r="H19" s="24"/>
      <c r="I19" s="98"/>
      <c r="J19" s="98"/>
    </row>
    <row r="20" spans="1:10">
      <c r="A20" s="20">
        <v>15</v>
      </c>
      <c r="B20" s="106" t="s">
        <v>158</v>
      </c>
      <c r="C20" s="22" t="s">
        <v>155</v>
      </c>
      <c r="D20" s="104" t="s">
        <v>160</v>
      </c>
      <c r="E20" s="92">
        <v>0</v>
      </c>
      <c r="F20" s="98">
        <v>89602000</v>
      </c>
      <c r="G20" s="98">
        <v>77914000</v>
      </c>
      <c r="H20" s="24"/>
      <c r="I20" s="98"/>
      <c r="J20" s="98"/>
    </row>
    <row r="21" spans="1:10">
      <c r="A21" s="20">
        <v>16</v>
      </c>
      <c r="B21" s="106" t="s">
        <v>161</v>
      </c>
      <c r="C21" s="22" t="s">
        <v>162</v>
      </c>
      <c r="D21" s="103" t="s">
        <v>163</v>
      </c>
      <c r="E21" s="92">
        <v>0</v>
      </c>
      <c r="F21" s="98">
        <v>18838000</v>
      </c>
      <c r="G21" s="98">
        <v>16381000</v>
      </c>
      <c r="H21" s="24"/>
      <c r="I21" s="22" t="s">
        <v>164</v>
      </c>
      <c r="J21" s="22" t="s">
        <v>165</v>
      </c>
    </row>
    <row r="22" spans="1:10">
      <c r="A22" s="20">
        <v>17</v>
      </c>
      <c r="B22" s="106" t="s">
        <v>161</v>
      </c>
      <c r="C22" s="22" t="s">
        <v>162</v>
      </c>
      <c r="D22" s="103" t="s">
        <v>166</v>
      </c>
      <c r="E22" s="92">
        <v>0</v>
      </c>
      <c r="F22" s="98">
        <v>25568000</v>
      </c>
      <c r="G22" s="98">
        <v>22233000</v>
      </c>
      <c r="H22" s="22"/>
      <c r="I22" s="22" t="s">
        <v>164</v>
      </c>
      <c r="J22" s="22" t="s">
        <v>165</v>
      </c>
    </row>
    <row r="23" spans="1:10">
      <c r="A23" s="20">
        <v>18</v>
      </c>
      <c r="B23" s="106" t="s">
        <v>161</v>
      </c>
      <c r="C23" s="22" t="s">
        <v>162</v>
      </c>
      <c r="D23" s="103" t="s">
        <v>167</v>
      </c>
      <c r="E23" s="92">
        <v>0</v>
      </c>
      <c r="F23" s="98">
        <v>24104000</v>
      </c>
      <c r="G23" s="98">
        <v>20960000</v>
      </c>
      <c r="H23" s="22"/>
      <c r="I23" s="22" t="s">
        <v>164</v>
      </c>
      <c r="J23" s="22" t="s">
        <v>165</v>
      </c>
    </row>
    <row r="24" spans="1:10">
      <c r="A24" s="20">
        <v>19</v>
      </c>
      <c r="B24" s="106" t="s">
        <v>168</v>
      </c>
      <c r="C24" s="22" t="s">
        <v>169</v>
      </c>
      <c r="D24" s="103" t="s">
        <v>170</v>
      </c>
      <c r="E24" s="92">
        <v>0</v>
      </c>
      <c r="F24" s="98">
        <v>26131000</v>
      </c>
      <c r="G24" s="98">
        <v>22723000</v>
      </c>
      <c r="H24" s="24"/>
      <c r="I24" s="22" t="s">
        <v>164</v>
      </c>
      <c r="J24" s="22" t="s">
        <v>165</v>
      </c>
    </row>
    <row r="25" spans="1:10">
      <c r="A25" s="20">
        <v>20</v>
      </c>
      <c r="B25" s="106" t="s">
        <v>168</v>
      </c>
      <c r="C25" s="22" t="s">
        <v>169</v>
      </c>
      <c r="D25" s="103" t="s">
        <v>171</v>
      </c>
      <c r="E25" s="92">
        <v>0</v>
      </c>
      <c r="F25" s="98">
        <v>32298000</v>
      </c>
      <c r="G25" s="98">
        <v>28085000</v>
      </c>
      <c r="H25" s="24"/>
      <c r="I25" s="22" t="s">
        <v>164</v>
      </c>
      <c r="J25" s="22" t="s">
        <v>165</v>
      </c>
    </row>
    <row r="26" spans="1:10">
      <c r="A26" s="20">
        <v>21</v>
      </c>
      <c r="B26" s="106" t="s">
        <v>172</v>
      </c>
      <c r="C26" s="22" t="s">
        <v>169</v>
      </c>
      <c r="D26" s="103" t="s">
        <v>173</v>
      </c>
      <c r="E26" s="92">
        <v>0</v>
      </c>
      <c r="F26" s="98">
        <v>30609000</v>
      </c>
      <c r="G26" s="98">
        <v>26616000</v>
      </c>
      <c r="H26" s="24"/>
      <c r="I26" s="22" t="s">
        <v>164</v>
      </c>
      <c r="J26" s="22" t="s">
        <v>165</v>
      </c>
    </row>
    <row r="27" spans="1:10">
      <c r="A27" s="20">
        <v>22</v>
      </c>
      <c r="B27" s="106" t="s">
        <v>172</v>
      </c>
      <c r="C27" s="22" t="s">
        <v>169</v>
      </c>
      <c r="D27" s="103" t="s">
        <v>174</v>
      </c>
      <c r="E27" s="92">
        <v>0</v>
      </c>
      <c r="F27" s="98">
        <v>32298000</v>
      </c>
      <c r="G27" s="98">
        <v>28085000</v>
      </c>
      <c r="H27" s="24"/>
      <c r="I27" s="22" t="s">
        <v>164</v>
      </c>
      <c r="J27" s="22" t="s">
        <v>165</v>
      </c>
    </row>
    <row r="28" spans="1:10">
      <c r="A28" s="20">
        <v>23</v>
      </c>
      <c r="B28" s="106" t="s">
        <v>175</v>
      </c>
      <c r="C28" s="22" t="s">
        <v>176</v>
      </c>
      <c r="D28" s="104" t="s">
        <v>177</v>
      </c>
      <c r="E28" s="92">
        <v>0</v>
      </c>
      <c r="F28" s="98">
        <v>26131000</v>
      </c>
      <c r="G28" s="98">
        <v>22723000</v>
      </c>
      <c r="H28" s="24"/>
      <c r="I28" s="22" t="s">
        <v>164</v>
      </c>
      <c r="J28" s="22" t="s">
        <v>165</v>
      </c>
    </row>
    <row r="29" spans="1:10">
      <c r="A29" s="20">
        <v>24</v>
      </c>
      <c r="B29" s="106" t="s">
        <v>178</v>
      </c>
      <c r="C29" s="22" t="s">
        <v>176</v>
      </c>
      <c r="D29" s="104" t="s">
        <v>179</v>
      </c>
      <c r="E29" s="92">
        <v>0</v>
      </c>
      <c r="F29" s="98">
        <v>27849000</v>
      </c>
      <c r="G29" s="98">
        <v>24217000</v>
      </c>
      <c r="H29" s="24"/>
      <c r="I29" s="22" t="s">
        <v>164</v>
      </c>
      <c r="J29" s="22" t="s">
        <v>165</v>
      </c>
    </row>
    <row r="30" spans="1:10">
      <c r="A30" s="20">
        <v>25</v>
      </c>
      <c r="B30" s="106" t="s">
        <v>178</v>
      </c>
      <c r="C30" s="22" t="s">
        <v>176</v>
      </c>
      <c r="D30" s="104" t="s">
        <v>180</v>
      </c>
      <c r="E30" s="92">
        <v>0</v>
      </c>
      <c r="F30" s="98">
        <v>30552000</v>
      </c>
      <c r="G30" s="98">
        <v>26567000</v>
      </c>
      <c r="H30" s="24"/>
      <c r="I30" s="22" t="s">
        <v>164</v>
      </c>
      <c r="J30" s="22" t="s">
        <v>165</v>
      </c>
    </row>
    <row r="31" spans="1:10">
      <c r="A31" s="20">
        <v>26</v>
      </c>
      <c r="B31" s="106" t="s">
        <v>178</v>
      </c>
      <c r="C31" s="22" t="s">
        <v>176</v>
      </c>
      <c r="D31" s="103" t="s">
        <v>181</v>
      </c>
      <c r="E31" s="92">
        <v>0</v>
      </c>
      <c r="F31" s="98">
        <v>31679000</v>
      </c>
      <c r="G31" s="98">
        <v>27547000</v>
      </c>
      <c r="H31" s="24"/>
      <c r="I31" s="22" t="s">
        <v>164</v>
      </c>
      <c r="J31" s="22" t="s">
        <v>165</v>
      </c>
    </row>
    <row r="32" spans="1:10">
      <c r="A32" s="20">
        <v>27</v>
      </c>
      <c r="B32" s="106" t="s">
        <v>182</v>
      </c>
      <c r="C32" s="22" t="s">
        <v>176</v>
      </c>
      <c r="D32" s="104" t="s">
        <v>183</v>
      </c>
      <c r="E32" s="92">
        <v>0</v>
      </c>
      <c r="F32" s="98">
        <v>29989000</v>
      </c>
      <c r="G32" s="98">
        <v>26078000</v>
      </c>
      <c r="H32" s="99" t="s">
        <v>184</v>
      </c>
      <c r="I32" s="22" t="s">
        <v>164</v>
      </c>
      <c r="J32" s="22" t="s">
        <v>165</v>
      </c>
    </row>
    <row r="33" spans="1:10">
      <c r="A33" s="20">
        <v>28</v>
      </c>
      <c r="B33" s="106" t="s">
        <v>182</v>
      </c>
      <c r="C33" s="22" t="s">
        <v>176</v>
      </c>
      <c r="D33" s="104" t="s">
        <v>185</v>
      </c>
      <c r="E33" s="92">
        <v>0</v>
      </c>
      <c r="F33" s="98">
        <v>30693000</v>
      </c>
      <c r="G33" s="98">
        <v>26690000</v>
      </c>
      <c r="H33" s="99" t="s">
        <v>184</v>
      </c>
      <c r="I33" s="22" t="s">
        <v>164</v>
      </c>
      <c r="J33" s="22" t="s">
        <v>165</v>
      </c>
    </row>
    <row r="34" spans="1:10">
      <c r="A34" s="20">
        <v>29</v>
      </c>
      <c r="B34" s="106" t="s">
        <v>186</v>
      </c>
      <c r="C34" s="22" t="s">
        <v>187</v>
      </c>
      <c r="D34" s="103" t="s">
        <v>188</v>
      </c>
      <c r="E34" s="92">
        <v>0</v>
      </c>
      <c r="F34" s="98">
        <v>39282000</v>
      </c>
      <c r="G34" s="98">
        <v>34158000</v>
      </c>
      <c r="H34" s="99" t="s">
        <v>184</v>
      </c>
      <c r="I34" s="22" t="s">
        <v>164</v>
      </c>
      <c r="J34" s="22" t="s">
        <v>165</v>
      </c>
    </row>
    <row r="35" spans="1:10">
      <c r="A35" s="20">
        <v>30</v>
      </c>
      <c r="B35" s="106" t="s">
        <v>186</v>
      </c>
      <c r="C35" s="22" t="s">
        <v>187</v>
      </c>
      <c r="D35" s="103" t="s">
        <v>189</v>
      </c>
      <c r="E35" s="92">
        <v>0</v>
      </c>
      <c r="F35" s="98">
        <v>49560000</v>
      </c>
      <c r="G35" s="98">
        <v>43095000</v>
      </c>
      <c r="H35" s="99" t="s">
        <v>184</v>
      </c>
      <c r="I35" s="22" t="s">
        <v>164</v>
      </c>
      <c r="J35" s="22" t="s">
        <v>165</v>
      </c>
    </row>
    <row r="36" spans="1:10">
      <c r="A36" s="20">
        <v>31</v>
      </c>
      <c r="B36" s="106" t="s">
        <v>190</v>
      </c>
      <c r="C36" s="22" t="s">
        <v>187</v>
      </c>
      <c r="D36" s="103" t="s">
        <v>191</v>
      </c>
      <c r="E36" s="92">
        <v>0</v>
      </c>
      <c r="F36" s="100">
        <v>38718000</v>
      </c>
      <c r="G36" s="100">
        <v>33668000</v>
      </c>
      <c r="H36" s="101"/>
      <c r="I36" s="22" t="s">
        <v>164</v>
      </c>
      <c r="J36" s="22" t="s">
        <v>165</v>
      </c>
    </row>
    <row r="37" spans="1:10" ht="15.75" customHeight="1">
      <c r="A37" s="20">
        <v>32</v>
      </c>
      <c r="B37" s="106" t="s">
        <v>190</v>
      </c>
      <c r="C37" s="22" t="s">
        <v>187</v>
      </c>
      <c r="D37" s="103" t="s">
        <v>192</v>
      </c>
      <c r="E37" s="92">
        <v>0</v>
      </c>
      <c r="F37" s="100">
        <v>39986000</v>
      </c>
      <c r="G37" s="100">
        <v>34770000</v>
      </c>
      <c r="H37" s="101"/>
      <c r="I37" s="22" t="s">
        <v>164</v>
      </c>
      <c r="J37" s="22" t="s">
        <v>165</v>
      </c>
    </row>
    <row r="38" spans="1:10">
      <c r="A38" s="20">
        <v>33</v>
      </c>
      <c r="B38" s="106" t="s">
        <v>190</v>
      </c>
      <c r="C38" s="22" t="s">
        <v>187</v>
      </c>
      <c r="D38" s="103" t="s">
        <v>193</v>
      </c>
      <c r="E38" s="92">
        <v>0</v>
      </c>
      <c r="F38" s="100">
        <v>42098000</v>
      </c>
      <c r="G38" s="100">
        <v>36607000</v>
      </c>
      <c r="H38" s="101"/>
      <c r="I38" s="22" t="s">
        <v>164</v>
      </c>
      <c r="J38" s="22" t="s">
        <v>165</v>
      </c>
    </row>
    <row r="39" spans="1:10">
      <c r="A39" s="20">
        <v>34</v>
      </c>
      <c r="B39" s="106" t="s">
        <v>190</v>
      </c>
      <c r="C39" s="22" t="s">
        <v>187</v>
      </c>
      <c r="D39" s="103" t="s">
        <v>194</v>
      </c>
      <c r="E39" s="92">
        <v>0</v>
      </c>
      <c r="F39" s="100">
        <v>48152000</v>
      </c>
      <c r="G39" s="100">
        <v>41871000</v>
      </c>
      <c r="H39" s="101"/>
      <c r="I39" s="22" t="s">
        <v>164</v>
      </c>
      <c r="J39" s="22" t="s">
        <v>165</v>
      </c>
    </row>
    <row r="40" spans="1:10">
      <c r="A40" s="20">
        <v>35</v>
      </c>
      <c r="B40" s="106" t="s">
        <v>190</v>
      </c>
      <c r="C40" s="22" t="s">
        <v>187</v>
      </c>
      <c r="D40" s="103" t="s">
        <v>195</v>
      </c>
      <c r="E40" s="92">
        <v>0</v>
      </c>
      <c r="F40" s="100">
        <v>49560000</v>
      </c>
      <c r="G40" s="100">
        <v>43095000</v>
      </c>
      <c r="H40" s="101"/>
      <c r="I40" s="22" t="s">
        <v>164</v>
      </c>
      <c r="J40" s="22" t="s">
        <v>165</v>
      </c>
    </row>
    <row r="41" spans="1:10">
      <c r="A41" s="20">
        <v>36</v>
      </c>
      <c r="B41" s="106" t="s">
        <v>196</v>
      </c>
      <c r="C41" s="107" t="s">
        <v>197</v>
      </c>
      <c r="D41" s="103" t="s">
        <v>198</v>
      </c>
      <c r="E41" s="92">
        <v>0</v>
      </c>
      <c r="F41" s="100">
        <v>74734000</v>
      </c>
      <c r="G41" s="100">
        <v>64986000</v>
      </c>
      <c r="H41" s="99" t="s">
        <v>184</v>
      </c>
      <c r="I41" s="22" t="s">
        <v>199</v>
      </c>
      <c r="J41" s="22" t="s">
        <v>200</v>
      </c>
    </row>
    <row r="42" spans="1:10">
      <c r="A42" s="20">
        <v>37</v>
      </c>
      <c r="B42" s="106" t="s">
        <v>201</v>
      </c>
      <c r="C42" s="107" t="s">
        <v>197</v>
      </c>
      <c r="D42" s="103" t="s">
        <v>202</v>
      </c>
      <c r="E42" s="92">
        <v>0</v>
      </c>
      <c r="F42" s="98">
        <v>76311000</v>
      </c>
      <c r="G42" s="98">
        <v>66357000</v>
      </c>
      <c r="H42" s="101"/>
      <c r="I42" s="22" t="s">
        <v>199</v>
      </c>
      <c r="J42" s="22" t="s">
        <v>200</v>
      </c>
    </row>
    <row r="43" spans="1:10">
      <c r="A43" s="20">
        <v>38</v>
      </c>
      <c r="B43" s="106" t="s">
        <v>201</v>
      </c>
      <c r="C43" s="107" t="s">
        <v>197</v>
      </c>
      <c r="D43" s="103" t="s">
        <v>203</v>
      </c>
      <c r="E43" s="92">
        <v>0</v>
      </c>
      <c r="F43" s="98">
        <v>77747000</v>
      </c>
      <c r="G43" s="98">
        <v>67606000</v>
      </c>
      <c r="H43" s="101"/>
      <c r="I43" s="22" t="s">
        <v>199</v>
      </c>
      <c r="J43" s="22" t="s">
        <v>200</v>
      </c>
    </row>
    <row r="44" spans="1:10">
      <c r="A44" s="20">
        <v>39</v>
      </c>
      <c r="B44" s="106" t="s">
        <v>201</v>
      </c>
      <c r="C44" s="107" t="s">
        <v>197</v>
      </c>
      <c r="D44" s="103" t="s">
        <v>204</v>
      </c>
      <c r="E44" s="92">
        <v>0</v>
      </c>
      <c r="F44" s="98">
        <v>93178000</v>
      </c>
      <c r="G44" s="98">
        <v>81024000</v>
      </c>
      <c r="H44" s="101"/>
      <c r="I44" s="22" t="s">
        <v>199</v>
      </c>
      <c r="J44" s="22" t="s">
        <v>200</v>
      </c>
    </row>
    <row r="45" spans="1:10">
      <c r="A45" s="20">
        <v>40</v>
      </c>
      <c r="B45" s="106" t="s">
        <v>205</v>
      </c>
      <c r="C45" s="107" t="s">
        <v>197</v>
      </c>
      <c r="D45" s="103" t="s">
        <v>206</v>
      </c>
      <c r="E45" s="92">
        <v>0</v>
      </c>
      <c r="F45" s="100">
        <v>77859000</v>
      </c>
      <c r="G45" s="100">
        <v>67704000</v>
      </c>
      <c r="H45" s="101"/>
      <c r="I45" s="22" t="s">
        <v>199</v>
      </c>
      <c r="J45" s="22" t="s">
        <v>200</v>
      </c>
    </row>
    <row r="46" spans="1:10">
      <c r="A46" s="20">
        <v>41</v>
      </c>
      <c r="B46" s="106" t="s">
        <v>205</v>
      </c>
      <c r="C46" s="107" t="s">
        <v>197</v>
      </c>
      <c r="D46" s="103" t="s">
        <v>207</v>
      </c>
      <c r="E46" s="92">
        <v>0</v>
      </c>
      <c r="F46" s="100">
        <v>74903000</v>
      </c>
      <c r="G46" s="100">
        <v>65133000</v>
      </c>
      <c r="H46" s="101"/>
      <c r="I46" s="22" t="s">
        <v>199</v>
      </c>
      <c r="J46" s="22" t="s">
        <v>200</v>
      </c>
    </row>
    <row r="47" spans="1:10">
      <c r="A47" s="20">
        <v>42</v>
      </c>
      <c r="B47" s="106" t="s">
        <v>205</v>
      </c>
      <c r="C47" s="107" t="s">
        <v>197</v>
      </c>
      <c r="D47" s="103" t="s">
        <v>208</v>
      </c>
      <c r="E47" s="92">
        <v>0</v>
      </c>
      <c r="F47" s="100">
        <v>85969000</v>
      </c>
      <c r="G47" s="100">
        <v>74756000</v>
      </c>
      <c r="H47" s="101"/>
      <c r="I47" s="22" t="s">
        <v>199</v>
      </c>
      <c r="J47" s="22" t="s">
        <v>200</v>
      </c>
    </row>
    <row r="48" spans="1:10">
      <c r="A48" s="20">
        <v>43</v>
      </c>
      <c r="B48" s="106" t="s">
        <v>205</v>
      </c>
      <c r="C48" s="107" t="s">
        <v>197</v>
      </c>
      <c r="D48" s="103" t="s">
        <v>209</v>
      </c>
      <c r="E48" s="92">
        <v>0</v>
      </c>
      <c r="F48" s="100">
        <v>80197000</v>
      </c>
      <c r="G48" s="100">
        <v>69736000</v>
      </c>
      <c r="H48" s="101"/>
      <c r="I48" s="22" t="s">
        <v>199</v>
      </c>
      <c r="J48" s="22" t="s">
        <v>200</v>
      </c>
    </row>
    <row r="49" spans="1:10">
      <c r="A49" s="20">
        <v>44</v>
      </c>
      <c r="B49" s="106" t="s">
        <v>210</v>
      </c>
      <c r="C49" s="107" t="s">
        <v>211</v>
      </c>
      <c r="D49" s="103" t="s">
        <v>212</v>
      </c>
      <c r="E49" s="92">
        <v>0</v>
      </c>
      <c r="F49" s="100">
        <v>67581000</v>
      </c>
      <c r="G49" s="100">
        <v>58766000</v>
      </c>
      <c r="H49" s="102"/>
      <c r="I49" s="22" t="s">
        <v>199</v>
      </c>
      <c r="J49" s="22" t="s">
        <v>200</v>
      </c>
    </row>
    <row r="50" spans="1:10">
      <c r="A50" s="20">
        <v>45</v>
      </c>
      <c r="B50" s="106" t="s">
        <v>210</v>
      </c>
      <c r="C50" s="107" t="s">
        <v>211</v>
      </c>
      <c r="D50" s="103" t="s">
        <v>213</v>
      </c>
      <c r="E50" s="92">
        <v>0</v>
      </c>
      <c r="F50" s="100">
        <v>70003000</v>
      </c>
      <c r="G50" s="100">
        <v>60872000</v>
      </c>
      <c r="H50" s="102"/>
      <c r="I50" s="22" t="s">
        <v>199</v>
      </c>
      <c r="J50" s="22" t="s">
        <v>200</v>
      </c>
    </row>
    <row r="51" spans="1:10">
      <c r="A51" s="20">
        <v>46</v>
      </c>
      <c r="B51" s="106" t="s">
        <v>210</v>
      </c>
      <c r="C51" s="107" t="s">
        <v>211</v>
      </c>
      <c r="D51" s="103" t="s">
        <v>214</v>
      </c>
      <c r="E51" s="92">
        <v>0</v>
      </c>
      <c r="F51" s="100">
        <v>70003000</v>
      </c>
      <c r="G51" s="100">
        <v>60872000</v>
      </c>
      <c r="H51" s="102"/>
      <c r="I51" s="22" t="s">
        <v>199</v>
      </c>
      <c r="J51" s="22" t="s">
        <v>200</v>
      </c>
    </row>
    <row r="52" spans="1:10">
      <c r="A52" s="20">
        <v>47</v>
      </c>
      <c r="B52" s="106" t="s">
        <v>210</v>
      </c>
      <c r="C52" s="107" t="s">
        <v>211</v>
      </c>
      <c r="D52" s="103" t="s">
        <v>215</v>
      </c>
      <c r="E52" s="92">
        <v>0</v>
      </c>
      <c r="F52" s="100">
        <v>78591000</v>
      </c>
      <c r="G52" s="100">
        <v>68340000</v>
      </c>
      <c r="H52" s="101"/>
      <c r="I52" s="22" t="s">
        <v>199</v>
      </c>
      <c r="J52" s="22" t="s">
        <v>200</v>
      </c>
    </row>
    <row r="53" spans="1:10">
      <c r="A53" s="20">
        <v>48</v>
      </c>
      <c r="B53" s="106" t="s">
        <v>210</v>
      </c>
      <c r="C53" s="107" t="s">
        <v>211</v>
      </c>
      <c r="D53" s="103" t="s">
        <v>216</v>
      </c>
      <c r="E53" s="92">
        <v>0</v>
      </c>
      <c r="F53" s="98">
        <v>78591000</v>
      </c>
      <c r="G53" s="98">
        <v>68340000</v>
      </c>
      <c r="H53" s="101"/>
      <c r="I53" s="22" t="s">
        <v>199</v>
      </c>
      <c r="J53" s="22" t="s">
        <v>200</v>
      </c>
    </row>
    <row r="54" spans="1:10">
      <c r="A54" s="20">
        <v>49</v>
      </c>
      <c r="B54" s="106" t="s">
        <v>210</v>
      </c>
      <c r="C54" s="107" t="s">
        <v>211</v>
      </c>
      <c r="D54" s="103" t="s">
        <v>217</v>
      </c>
      <c r="E54" s="92">
        <v>0</v>
      </c>
      <c r="F54" s="98">
        <v>80872000</v>
      </c>
      <c r="G54" s="98">
        <v>70324000</v>
      </c>
      <c r="H54" s="101"/>
      <c r="I54" s="22" t="s">
        <v>199</v>
      </c>
      <c r="J54" s="22" t="s">
        <v>200</v>
      </c>
    </row>
    <row r="55" spans="1:10">
      <c r="A55" s="20">
        <v>50</v>
      </c>
      <c r="B55" s="106" t="s">
        <v>210</v>
      </c>
      <c r="C55" s="107" t="s">
        <v>211</v>
      </c>
      <c r="D55" s="103" t="s">
        <v>218</v>
      </c>
      <c r="E55" s="92">
        <v>0</v>
      </c>
      <c r="F55" s="98">
        <v>81098000</v>
      </c>
      <c r="G55" s="98">
        <v>70520000</v>
      </c>
      <c r="H55" s="101"/>
      <c r="I55" s="22" t="s">
        <v>199</v>
      </c>
      <c r="J55" s="22" t="s">
        <v>200</v>
      </c>
    </row>
    <row r="56" spans="1:10">
      <c r="A56" s="20">
        <v>51</v>
      </c>
      <c r="B56" s="106" t="s">
        <v>210</v>
      </c>
      <c r="C56" s="107" t="s">
        <v>211</v>
      </c>
      <c r="D56" s="103" t="s">
        <v>219</v>
      </c>
      <c r="E56" s="92">
        <v>0</v>
      </c>
      <c r="F56" s="98">
        <v>88729000</v>
      </c>
      <c r="G56" s="98">
        <v>77155000</v>
      </c>
      <c r="H56" s="101"/>
      <c r="I56" s="22" t="s">
        <v>199</v>
      </c>
      <c r="J56" s="22" t="s">
        <v>200</v>
      </c>
    </row>
    <row r="57" spans="1:10">
      <c r="A57" s="20">
        <v>52</v>
      </c>
      <c r="B57" s="106" t="s">
        <v>220</v>
      </c>
      <c r="C57" s="107" t="s">
        <v>221</v>
      </c>
      <c r="D57" s="103" t="s">
        <v>222</v>
      </c>
      <c r="E57" s="92">
        <v>0</v>
      </c>
      <c r="F57" s="100">
        <v>84223000</v>
      </c>
      <c r="G57" s="100">
        <v>73238000</v>
      </c>
      <c r="H57" s="102"/>
      <c r="I57" s="22" t="s">
        <v>199</v>
      </c>
      <c r="J57" s="22" t="s">
        <v>200</v>
      </c>
    </row>
    <row r="58" spans="1:10">
      <c r="A58" s="20">
        <v>53</v>
      </c>
      <c r="B58" s="106" t="s">
        <v>223</v>
      </c>
      <c r="C58" s="107" t="s">
        <v>211</v>
      </c>
      <c r="D58" s="103" t="s">
        <v>224</v>
      </c>
      <c r="E58" s="92">
        <v>0</v>
      </c>
      <c r="F58" s="98">
        <v>72932000</v>
      </c>
      <c r="G58" s="98">
        <v>63419000</v>
      </c>
      <c r="H58" s="101"/>
      <c r="I58" s="22" t="s">
        <v>199</v>
      </c>
      <c r="J58" s="22" t="s">
        <v>200</v>
      </c>
    </row>
    <row r="59" spans="1:10">
      <c r="A59" s="20">
        <v>54</v>
      </c>
      <c r="B59" s="106" t="s">
        <v>223</v>
      </c>
      <c r="C59" s="107" t="s">
        <v>211</v>
      </c>
      <c r="D59" s="103" t="s">
        <v>225</v>
      </c>
      <c r="E59" s="92">
        <v>0</v>
      </c>
      <c r="F59" s="98">
        <v>72932000</v>
      </c>
      <c r="G59" s="98">
        <v>63419000</v>
      </c>
      <c r="H59" s="101"/>
      <c r="I59" s="22" t="s">
        <v>199</v>
      </c>
      <c r="J59" s="22" t="s">
        <v>200</v>
      </c>
    </row>
    <row r="60" spans="1:10">
      <c r="A60" s="20">
        <v>55</v>
      </c>
      <c r="B60" s="106" t="s">
        <v>226</v>
      </c>
      <c r="C60" s="107" t="s">
        <v>211</v>
      </c>
      <c r="D60" s="103" t="s">
        <v>227</v>
      </c>
      <c r="E60" s="92">
        <v>0</v>
      </c>
      <c r="F60" s="98">
        <v>80253000</v>
      </c>
      <c r="G60" s="98">
        <v>69785000</v>
      </c>
      <c r="H60" s="101"/>
      <c r="I60" s="22" t="s">
        <v>199</v>
      </c>
      <c r="J60" s="22" t="s">
        <v>200</v>
      </c>
    </row>
    <row r="61" spans="1:10">
      <c r="A61" s="20">
        <v>56</v>
      </c>
      <c r="B61" s="106" t="s">
        <v>228</v>
      </c>
      <c r="C61" s="107" t="s">
        <v>211</v>
      </c>
      <c r="D61" s="103" t="s">
        <v>229</v>
      </c>
      <c r="E61" s="92">
        <v>0</v>
      </c>
      <c r="F61" s="98">
        <v>80253000</v>
      </c>
      <c r="G61" s="98">
        <v>69785000</v>
      </c>
      <c r="H61" s="101"/>
      <c r="I61" s="22" t="s">
        <v>199</v>
      </c>
      <c r="J61" s="22" t="s">
        <v>200</v>
      </c>
    </row>
    <row r="62" spans="1:10">
      <c r="A62" s="20">
        <v>57</v>
      </c>
      <c r="B62" s="106" t="s">
        <v>230</v>
      </c>
      <c r="C62" s="107" t="s">
        <v>221</v>
      </c>
      <c r="D62" s="103" t="s">
        <v>231</v>
      </c>
      <c r="E62" s="92">
        <v>0</v>
      </c>
      <c r="F62" s="98">
        <v>85040000</v>
      </c>
      <c r="G62" s="98">
        <v>73948000</v>
      </c>
      <c r="H62" s="101"/>
      <c r="I62" s="22" t="s">
        <v>199</v>
      </c>
      <c r="J62" s="22" t="s">
        <v>200</v>
      </c>
    </row>
    <row r="63" spans="1:10">
      <c r="A63" s="20">
        <v>58</v>
      </c>
      <c r="B63" s="106" t="s">
        <v>232</v>
      </c>
      <c r="C63" s="107" t="s">
        <v>233</v>
      </c>
      <c r="D63" s="103" t="s">
        <v>234</v>
      </c>
      <c r="E63" s="92">
        <v>0</v>
      </c>
      <c r="F63" s="98">
        <v>73889000</v>
      </c>
      <c r="G63" s="98">
        <v>64251000</v>
      </c>
      <c r="H63" s="99" t="s">
        <v>235</v>
      </c>
      <c r="I63" s="22" t="s">
        <v>199</v>
      </c>
      <c r="J63" s="22" t="s">
        <v>200</v>
      </c>
    </row>
    <row r="64" spans="1:10">
      <c r="A64" s="20">
        <v>59</v>
      </c>
      <c r="B64" s="106" t="s">
        <v>236</v>
      </c>
      <c r="C64" s="107" t="s">
        <v>233</v>
      </c>
      <c r="D64" s="103" t="s">
        <v>237</v>
      </c>
      <c r="E64" s="92">
        <v>0</v>
      </c>
      <c r="F64" s="98">
        <v>66117000</v>
      </c>
      <c r="G64" s="98">
        <v>57493000</v>
      </c>
      <c r="H64" s="102"/>
      <c r="I64" s="22" t="s">
        <v>199</v>
      </c>
      <c r="J64" s="22" t="s">
        <v>200</v>
      </c>
    </row>
    <row r="65" spans="1:10">
      <c r="A65" s="20">
        <v>60</v>
      </c>
      <c r="B65" s="106" t="s">
        <v>236</v>
      </c>
      <c r="C65" s="107" t="s">
        <v>233</v>
      </c>
      <c r="D65" s="103" t="s">
        <v>238</v>
      </c>
      <c r="E65" s="92">
        <v>0</v>
      </c>
      <c r="F65" s="98">
        <v>67412000</v>
      </c>
      <c r="G65" s="98">
        <v>58619000</v>
      </c>
      <c r="H65" s="102"/>
      <c r="I65" s="22" t="s">
        <v>199</v>
      </c>
      <c r="J65" s="22" t="s">
        <v>200</v>
      </c>
    </row>
    <row r="66" spans="1:10">
      <c r="A66" s="20">
        <v>61</v>
      </c>
      <c r="B66" s="106" t="s">
        <v>236</v>
      </c>
      <c r="C66" s="107" t="s">
        <v>233</v>
      </c>
      <c r="D66" s="103" t="s">
        <v>239</v>
      </c>
      <c r="E66" s="92">
        <v>0</v>
      </c>
      <c r="F66" s="98">
        <v>67412000</v>
      </c>
      <c r="G66" s="98">
        <v>58619000</v>
      </c>
      <c r="H66" s="102"/>
      <c r="I66" s="22" t="s">
        <v>199</v>
      </c>
      <c r="J66" s="22" t="s">
        <v>200</v>
      </c>
    </row>
    <row r="67" spans="1:10">
      <c r="A67" s="20">
        <v>62</v>
      </c>
      <c r="B67" s="106" t="s">
        <v>236</v>
      </c>
      <c r="C67" s="107" t="s">
        <v>233</v>
      </c>
      <c r="D67" s="103" t="s">
        <v>240</v>
      </c>
      <c r="E67" s="92">
        <v>0</v>
      </c>
      <c r="F67" s="98">
        <v>75297000</v>
      </c>
      <c r="G67" s="98">
        <v>65476000</v>
      </c>
      <c r="H67" s="102"/>
      <c r="I67" s="22" t="s">
        <v>199</v>
      </c>
      <c r="J67" s="22" t="s">
        <v>200</v>
      </c>
    </row>
    <row r="68" spans="1:10">
      <c r="A68" s="20">
        <v>63</v>
      </c>
      <c r="B68" s="106" t="s">
        <v>236</v>
      </c>
      <c r="C68" s="107" t="s">
        <v>233</v>
      </c>
      <c r="D68" s="103" t="s">
        <v>241</v>
      </c>
      <c r="E68" s="92">
        <v>0</v>
      </c>
      <c r="F68" s="98">
        <v>75297000</v>
      </c>
      <c r="G68" s="98">
        <v>65476000</v>
      </c>
      <c r="H68" s="102"/>
      <c r="I68" s="22" t="s">
        <v>199</v>
      </c>
      <c r="J68" s="22" t="s">
        <v>200</v>
      </c>
    </row>
    <row r="69" spans="1:10">
      <c r="A69" s="20">
        <v>64</v>
      </c>
      <c r="B69" s="106" t="s">
        <v>236</v>
      </c>
      <c r="C69" s="107" t="s">
        <v>233</v>
      </c>
      <c r="D69" s="103" t="s">
        <v>242</v>
      </c>
      <c r="E69" s="92">
        <v>0</v>
      </c>
      <c r="F69" s="98">
        <v>78845000</v>
      </c>
      <c r="G69" s="98">
        <v>68561000</v>
      </c>
      <c r="H69" s="102"/>
      <c r="I69" s="22" t="s">
        <v>199</v>
      </c>
      <c r="J69" s="22" t="s">
        <v>200</v>
      </c>
    </row>
    <row r="70" spans="1:10">
      <c r="A70" s="20">
        <v>65</v>
      </c>
      <c r="B70" s="106" t="s">
        <v>236</v>
      </c>
      <c r="C70" s="107" t="s">
        <v>233</v>
      </c>
      <c r="D70" s="103" t="s">
        <v>243</v>
      </c>
      <c r="E70" s="92">
        <v>0</v>
      </c>
      <c r="F70" s="98">
        <v>79127000</v>
      </c>
      <c r="G70" s="98">
        <v>68806000</v>
      </c>
      <c r="H70" s="102"/>
      <c r="I70" s="22" t="s">
        <v>199</v>
      </c>
      <c r="J70" s="22" t="s">
        <v>200</v>
      </c>
    </row>
    <row r="71" spans="1:10">
      <c r="A71" s="20">
        <v>66</v>
      </c>
      <c r="B71" s="106" t="s">
        <v>236</v>
      </c>
      <c r="C71" s="107" t="s">
        <v>233</v>
      </c>
      <c r="D71" s="103" t="s">
        <v>244</v>
      </c>
      <c r="E71" s="92">
        <v>0</v>
      </c>
      <c r="F71" s="98">
        <v>84477000</v>
      </c>
      <c r="G71" s="98">
        <v>73458000</v>
      </c>
      <c r="H71" s="102"/>
      <c r="I71" s="22" t="s">
        <v>199</v>
      </c>
      <c r="J71" s="22" t="s">
        <v>200</v>
      </c>
    </row>
    <row r="72" spans="1:10">
      <c r="A72" s="20">
        <v>67</v>
      </c>
      <c r="B72" s="106" t="s">
        <v>245</v>
      </c>
      <c r="C72" s="107" t="s">
        <v>246</v>
      </c>
      <c r="D72" s="103" t="s">
        <v>247</v>
      </c>
      <c r="E72" s="92">
        <v>0</v>
      </c>
      <c r="F72" s="98">
        <v>79464000</v>
      </c>
      <c r="G72" s="98">
        <v>69099000</v>
      </c>
      <c r="H72" s="102"/>
      <c r="I72" s="22" t="s">
        <v>199</v>
      </c>
      <c r="J72" s="22" t="s">
        <v>200</v>
      </c>
    </row>
  </sheetData>
  <mergeCells count="10">
    <mergeCell ref="C6:C7"/>
    <mergeCell ref="I4:J4"/>
    <mergeCell ref="F4:F5"/>
    <mergeCell ref="G4:G5"/>
    <mergeCell ref="H4:H5"/>
    <mergeCell ref="A4:A5"/>
    <mergeCell ref="B4:B5"/>
    <mergeCell ref="C4:C5"/>
    <mergeCell ref="D4:D5"/>
    <mergeCell ref="E4:E5"/>
  </mergeCells>
  <conditionalFormatting sqref="B4">
    <cfRule type="duplicateValues" dxfId="12" priority="1" stopIfTrue="1"/>
    <cfRule type="duplicateValues" dxfId="11" priority="2" stopIfTrue="1"/>
    <cfRule type="duplicateValues" dxfId="10" priority="3" stopIfTrue="1"/>
    <cfRule type="duplicateValues" dxfId="9" priority="4" stopIfTrue="1"/>
    <cfRule type="duplicateValues" dxfId="8" priority="5" stopIfTrue="1"/>
    <cfRule type="duplicateValues" dxfId="7" priority="6" stopIfTrue="1"/>
    <cfRule type="duplicateValues" dxfId="6" priority="7" stopIfTrue="1"/>
    <cfRule type="duplicateValues" dxfId="5" priority="8" stopIfTrue="1"/>
    <cfRule type="duplicateValues" dxfId="4" priority="9" stopIfTrue="1"/>
    <cfRule type="duplicateValues" dxfId="3" priority="10" stopIfTrue="1"/>
    <cfRule type="duplicateValues" dxfId="2" priority="11" stopIfTrue="1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5:I29"/>
  <sheetViews>
    <sheetView zoomScale="133" zoomScaleNormal="133" workbookViewId="0">
      <selection activeCell="C7" sqref="C7"/>
    </sheetView>
  </sheetViews>
  <sheetFormatPr defaultColWidth="8.85546875" defaultRowHeight="15"/>
  <cols>
    <col min="2" max="2" width="14.140625" customWidth="1"/>
    <col min="3" max="3" width="43.42578125" customWidth="1"/>
    <col min="6" max="6" width="19.28515625" customWidth="1"/>
    <col min="7" max="7" width="14" customWidth="1"/>
  </cols>
  <sheetData>
    <row r="5" spans="1:8" s="26" customFormat="1" ht="50.25">
      <c r="A5" s="14" t="s">
        <v>0</v>
      </c>
      <c r="B5" s="16" t="s">
        <v>248</v>
      </c>
      <c r="C5" s="2" t="s">
        <v>3</v>
      </c>
      <c r="D5" s="16" t="s">
        <v>249</v>
      </c>
      <c r="E5" s="25" t="s">
        <v>4</v>
      </c>
      <c r="F5" s="4" t="s">
        <v>250</v>
      </c>
      <c r="G5" s="5" t="s">
        <v>251</v>
      </c>
      <c r="H5" s="6" t="s">
        <v>252</v>
      </c>
    </row>
    <row r="6" spans="1:8" s="34" customFormat="1" ht="31.5">
      <c r="A6" s="27">
        <f>IF(C6&lt;&gt;"",COUNTA($C$4:C6),"")</f>
        <v>2</v>
      </c>
      <c r="B6" s="153" t="s">
        <v>253</v>
      </c>
      <c r="C6" s="28" t="s">
        <v>254</v>
      </c>
      <c r="D6" s="152" t="s">
        <v>255</v>
      </c>
      <c r="E6" s="29" t="s">
        <v>4</v>
      </c>
      <c r="F6" s="30">
        <v>4128000</v>
      </c>
      <c r="G6" s="31">
        <v>3704000</v>
      </c>
      <c r="H6" s="33"/>
    </row>
    <row r="7" spans="1:8" s="34" customFormat="1" ht="31.5">
      <c r="A7" s="27">
        <f>IF(C7&lt;&gt;"",COUNTA($C$4:C7),"")</f>
        <v>3</v>
      </c>
      <c r="B7" s="153"/>
      <c r="C7" s="28" t="s">
        <v>256</v>
      </c>
      <c r="D7" s="152"/>
      <c r="E7" s="29" t="s">
        <v>57</v>
      </c>
      <c r="F7" s="30">
        <v>6663000</v>
      </c>
      <c r="G7" s="31">
        <v>5980000</v>
      </c>
      <c r="H7" s="35"/>
    </row>
    <row r="8" spans="1:8" s="34" customFormat="1" ht="20.25">
      <c r="A8" s="27">
        <f>IF(C8&lt;&gt;"",COUNTA($C$4:C8),"")</f>
        <v>4</v>
      </c>
      <c r="B8" s="36" t="s">
        <v>257</v>
      </c>
      <c r="C8" s="28" t="s">
        <v>258</v>
      </c>
      <c r="D8" s="37" t="s">
        <v>259</v>
      </c>
      <c r="E8" s="29" t="s">
        <v>4</v>
      </c>
      <c r="F8" s="30">
        <v>5266000</v>
      </c>
      <c r="G8" s="31">
        <v>4726000</v>
      </c>
      <c r="H8" s="33"/>
    </row>
    <row r="9" spans="1:8" s="34" customFormat="1" ht="20.25">
      <c r="A9" s="38" t="s">
        <v>260</v>
      </c>
      <c r="B9" s="38"/>
      <c r="C9" s="39"/>
      <c r="D9" s="40"/>
      <c r="E9" s="40"/>
      <c r="F9" s="40"/>
      <c r="G9" s="40"/>
      <c r="H9" s="40"/>
    </row>
    <row r="10" spans="1:8" s="34" customFormat="1" ht="47.25">
      <c r="A10" s="27">
        <f>IF(C10&lt;&gt;"",COUNTA($C$4:C10),"")</f>
        <v>5</v>
      </c>
      <c r="B10" s="153" t="s">
        <v>261</v>
      </c>
      <c r="C10" s="19" t="s">
        <v>262</v>
      </c>
      <c r="D10" s="41" t="s">
        <v>263</v>
      </c>
      <c r="E10" s="41" t="s">
        <v>57</v>
      </c>
      <c r="F10" s="30">
        <v>2695000</v>
      </c>
      <c r="G10" s="31">
        <v>2418000</v>
      </c>
      <c r="H10" s="42"/>
    </row>
    <row r="11" spans="1:8" s="34" customFormat="1" ht="31.5">
      <c r="A11" s="27">
        <f>IF(C11&lt;&gt;"",COUNTA($C$4:C11),"")</f>
        <v>6</v>
      </c>
      <c r="B11" s="153"/>
      <c r="C11" s="19" t="s">
        <v>264</v>
      </c>
      <c r="D11" s="41" t="s">
        <v>265</v>
      </c>
      <c r="E11" s="41" t="s">
        <v>4</v>
      </c>
      <c r="F11" s="30">
        <v>4459000</v>
      </c>
      <c r="G11" s="31">
        <v>4002000</v>
      </c>
      <c r="H11" s="32"/>
    </row>
    <row r="12" spans="1:8" s="34" customFormat="1" ht="31.5">
      <c r="A12" s="27">
        <f>IF(C12&lt;&gt;"",COUNTA($C$4:C12),"")</f>
        <v>7</v>
      </c>
      <c r="B12" s="153"/>
      <c r="C12" s="19" t="s">
        <v>266</v>
      </c>
      <c r="D12" s="41" t="s">
        <v>267</v>
      </c>
      <c r="E12" s="41" t="s">
        <v>4</v>
      </c>
      <c r="F12" s="30">
        <v>4459000</v>
      </c>
      <c r="G12" s="31">
        <v>4002000</v>
      </c>
      <c r="H12" s="42"/>
    </row>
    <row r="13" spans="1:8" s="34" customFormat="1" ht="31.5">
      <c r="A13" s="27">
        <f>IF(C13&lt;&gt;"",COUNTA($C$4:C13),"")</f>
        <v>8</v>
      </c>
      <c r="B13" s="153"/>
      <c r="C13" s="19" t="s">
        <v>268</v>
      </c>
      <c r="D13" s="41" t="s">
        <v>265</v>
      </c>
      <c r="E13" s="41" t="s">
        <v>4</v>
      </c>
      <c r="F13" s="30">
        <v>5235000</v>
      </c>
      <c r="G13" s="31">
        <v>4698000</v>
      </c>
      <c r="H13" s="42"/>
    </row>
    <row r="14" spans="1:8" s="44" customFormat="1" ht="31.5">
      <c r="A14" s="27">
        <f>IF(C14&lt;&gt;"",COUNTA($C$4:C14),"")</f>
        <v>9</v>
      </c>
      <c r="B14" s="154" t="s">
        <v>269</v>
      </c>
      <c r="C14" s="28" t="s">
        <v>270</v>
      </c>
      <c r="D14" s="29" t="s">
        <v>265</v>
      </c>
      <c r="E14" s="29" t="s">
        <v>4</v>
      </c>
      <c r="F14" s="30">
        <v>5235000</v>
      </c>
      <c r="G14" s="31">
        <v>4698000</v>
      </c>
      <c r="H14" s="43"/>
    </row>
    <row r="15" spans="1:8" s="44" customFormat="1" ht="31.5">
      <c r="A15" s="27">
        <f>IF(C15&lt;&gt;"",COUNTA($C$4:C15),"")</f>
        <v>10</v>
      </c>
      <c r="B15" s="154"/>
      <c r="C15" s="28" t="s">
        <v>271</v>
      </c>
      <c r="D15" s="29" t="s">
        <v>265</v>
      </c>
      <c r="E15" s="29" t="s">
        <v>4</v>
      </c>
      <c r="F15" s="30">
        <v>5143000</v>
      </c>
      <c r="G15" s="31">
        <v>4616000</v>
      </c>
      <c r="H15" s="43"/>
    </row>
    <row r="16" spans="1:8" s="44" customFormat="1" ht="31.5">
      <c r="A16" s="27">
        <f>IF(C16&lt;&gt;"",COUNTA($C$4:C16),"")</f>
        <v>11</v>
      </c>
      <c r="B16" s="154"/>
      <c r="C16" s="45" t="s">
        <v>272</v>
      </c>
      <c r="D16" s="29" t="s">
        <v>267</v>
      </c>
      <c r="E16" s="29" t="s">
        <v>4</v>
      </c>
      <c r="F16" s="30">
        <v>6085000</v>
      </c>
      <c r="G16" s="31">
        <v>5461000</v>
      </c>
      <c r="H16" s="43"/>
    </row>
    <row r="17" spans="1:9" s="44" customFormat="1" ht="31.5">
      <c r="A17" s="27">
        <f>IF(C17&lt;&gt;"",COUNTA($C$4:C17),"")</f>
        <v>12</v>
      </c>
      <c r="B17" s="154" t="s">
        <v>273</v>
      </c>
      <c r="C17" s="28" t="s">
        <v>274</v>
      </c>
      <c r="D17" s="29" t="s">
        <v>265</v>
      </c>
      <c r="E17" s="29" t="s">
        <v>4</v>
      </c>
      <c r="F17" s="30">
        <v>5901000</v>
      </c>
      <c r="G17" s="31">
        <v>5296000</v>
      </c>
      <c r="H17" s="43"/>
    </row>
    <row r="18" spans="1:9" s="44" customFormat="1" ht="31.5">
      <c r="A18" s="27">
        <f>IF(C18&lt;&gt;"",COUNTA($C$4:C18),"")</f>
        <v>13</v>
      </c>
      <c r="B18" s="154"/>
      <c r="C18" s="28" t="s">
        <v>274</v>
      </c>
      <c r="D18" s="29" t="s">
        <v>267</v>
      </c>
      <c r="E18" s="29" t="s">
        <v>4</v>
      </c>
      <c r="F18" s="30">
        <v>5901000</v>
      </c>
      <c r="G18" s="31">
        <v>5296000</v>
      </c>
      <c r="H18" s="43"/>
    </row>
    <row r="19" spans="1:9" s="44" customFormat="1" ht="20.25">
      <c r="A19" s="38" t="s">
        <v>275</v>
      </c>
      <c r="B19" s="38"/>
      <c r="C19" s="39"/>
      <c r="D19" s="40"/>
      <c r="E19" s="40"/>
      <c r="F19" s="40"/>
      <c r="G19" s="40"/>
      <c r="H19" s="40"/>
      <c r="I19" s="34"/>
    </row>
    <row r="20" spans="1:9" s="44" customFormat="1" ht="60.75">
      <c r="A20" s="27">
        <f>IF(C20&lt;&gt;"",COUNTA($C$4:C20),"")</f>
        <v>14</v>
      </c>
      <c r="B20" s="46" t="s">
        <v>276</v>
      </c>
      <c r="C20" s="28" t="s">
        <v>277</v>
      </c>
      <c r="D20" s="29"/>
      <c r="E20" s="29" t="s">
        <v>4</v>
      </c>
      <c r="F20" s="30">
        <v>4226000</v>
      </c>
      <c r="G20" s="31">
        <v>3793000</v>
      </c>
      <c r="H20" s="43"/>
    </row>
    <row r="21" spans="1:9" s="34" customFormat="1" ht="20.25">
      <c r="A21" s="38" t="s">
        <v>278</v>
      </c>
      <c r="B21" s="38"/>
      <c r="C21" s="47"/>
      <c r="D21" s="48"/>
      <c r="E21" s="49"/>
      <c r="F21" s="48"/>
      <c r="G21" s="48"/>
      <c r="H21" s="48"/>
    </row>
    <row r="22" spans="1:9" s="34" customFormat="1" ht="20.25">
      <c r="A22" s="27" t="str">
        <f>IF(C22&lt;&gt;"",COUNTA($C$4:C22),"")</f>
        <v/>
      </c>
      <c r="B22" s="46" t="s">
        <v>278</v>
      </c>
      <c r="C22" s="28"/>
      <c r="D22" s="29"/>
      <c r="E22" s="29"/>
      <c r="F22" s="30"/>
      <c r="G22" s="31"/>
      <c r="H22" s="42"/>
    </row>
    <row r="23" spans="1:9" s="34" customFormat="1" ht="20.25">
      <c r="A23" s="38" t="s">
        <v>279</v>
      </c>
      <c r="B23" s="38"/>
      <c r="C23" s="47"/>
      <c r="D23" s="48"/>
      <c r="E23" s="48"/>
      <c r="F23" s="48"/>
      <c r="G23" s="48"/>
      <c r="H23" s="48"/>
    </row>
    <row r="24" spans="1:9" s="44" customFormat="1" ht="15.75">
      <c r="A24" s="27">
        <f>IF(C24&lt;&gt;"",COUNTA($C$4:C24),"")</f>
        <v>15</v>
      </c>
      <c r="B24" s="151"/>
      <c r="C24" s="28" t="s">
        <v>280</v>
      </c>
      <c r="D24" s="152" t="s">
        <v>22</v>
      </c>
      <c r="E24" s="29" t="s">
        <v>4</v>
      </c>
      <c r="F24" s="30">
        <v>501000</v>
      </c>
      <c r="G24" s="31">
        <v>449000</v>
      </c>
      <c r="H24" s="43"/>
    </row>
    <row r="25" spans="1:9" s="44" customFormat="1" ht="31.5">
      <c r="A25" s="27">
        <f>IF(C25&lt;&gt;"",COUNTA($C$4:C25),"")</f>
        <v>16</v>
      </c>
      <c r="B25" s="151"/>
      <c r="C25" s="28" t="s">
        <v>281</v>
      </c>
      <c r="D25" s="152"/>
      <c r="E25" s="29" t="s">
        <v>4</v>
      </c>
      <c r="F25" s="30">
        <v>462000</v>
      </c>
      <c r="G25" s="31">
        <v>415000</v>
      </c>
      <c r="H25" s="43"/>
    </row>
    <row r="26" spans="1:9" s="34" customFormat="1" ht="20.25">
      <c r="A26" s="38" t="s">
        <v>282</v>
      </c>
      <c r="B26" s="38"/>
      <c r="C26" s="47"/>
      <c r="D26" s="48"/>
      <c r="E26" s="48"/>
      <c r="F26" s="48"/>
      <c r="G26" s="48"/>
      <c r="H26" s="48"/>
    </row>
    <row r="27" spans="1:9" s="44" customFormat="1" ht="31.5">
      <c r="A27" s="27">
        <f>IF(C27&lt;&gt;"",COUNTA($C$4:C27),"")</f>
        <v>17</v>
      </c>
      <c r="B27" s="151" t="s">
        <v>283</v>
      </c>
      <c r="C27" s="28" t="s">
        <v>284</v>
      </c>
      <c r="D27" s="152"/>
      <c r="E27" s="29" t="s">
        <v>57</v>
      </c>
      <c r="F27" s="30"/>
      <c r="G27" s="31"/>
      <c r="H27" s="43"/>
    </row>
    <row r="28" spans="1:9" s="44" customFormat="1" ht="15.75">
      <c r="A28" s="27">
        <f>IF(C28&lt;&gt;"",COUNTA($C$4:C28),"")</f>
        <v>18</v>
      </c>
      <c r="B28" s="151"/>
      <c r="C28" s="28" t="s">
        <v>285</v>
      </c>
      <c r="D28" s="152"/>
      <c r="E28" s="29" t="s">
        <v>57</v>
      </c>
      <c r="F28" s="30"/>
      <c r="G28" s="31"/>
      <c r="H28" s="43"/>
    </row>
    <row r="29" spans="1:9" s="44" customFormat="1" ht="15.75">
      <c r="A29" s="27">
        <f>IF(C29&lt;&gt;"",COUNTA($C$4:C29),"")</f>
        <v>19</v>
      </c>
      <c r="B29" s="151"/>
      <c r="C29" s="28" t="s">
        <v>286</v>
      </c>
      <c r="D29" s="152"/>
      <c r="E29" s="29" t="s">
        <v>57</v>
      </c>
      <c r="F29" s="30"/>
      <c r="G29" s="31"/>
      <c r="H29" s="43"/>
    </row>
  </sheetData>
  <mergeCells count="9">
    <mergeCell ref="B27:B29"/>
    <mergeCell ref="D27:D29"/>
    <mergeCell ref="B6:B7"/>
    <mergeCell ref="D6:D7"/>
    <mergeCell ref="B10:B13"/>
    <mergeCell ref="B14:B16"/>
    <mergeCell ref="B17:B18"/>
    <mergeCell ref="B24:B25"/>
    <mergeCell ref="D24:D25"/>
  </mergeCells>
  <conditionalFormatting sqref="E19">
    <cfRule type="duplicateValues" dxfId="1" priority="5" stopIfTrue="1"/>
  </conditionalFormatting>
  <conditionalFormatting sqref="E9:H9">
    <cfRule type="duplicateValues" dxfId="0" priority="12" stopIfTrue="1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5:F182"/>
  <sheetViews>
    <sheetView topLeftCell="B1" workbookViewId="0">
      <selection activeCell="C30" sqref="C30"/>
    </sheetView>
  </sheetViews>
  <sheetFormatPr defaultColWidth="8.85546875" defaultRowHeight="15"/>
  <cols>
    <col min="2" max="2" width="15.42578125" bestFit="1" customWidth="1"/>
    <col min="3" max="3" width="88.7109375" bestFit="1" customWidth="1"/>
    <col min="4" max="5" width="12.42578125" bestFit="1" customWidth="1"/>
  </cols>
  <sheetData>
    <row r="5" spans="1:6" s="54" customFormat="1" ht="25.5" customHeight="1">
      <c r="A5" s="50" t="s">
        <v>287</v>
      </c>
      <c r="B5" s="51" t="s">
        <v>288</v>
      </c>
      <c r="C5" s="51" t="s">
        <v>289</v>
      </c>
      <c r="D5" s="52" t="s">
        <v>290</v>
      </c>
      <c r="E5" s="52" t="s">
        <v>291</v>
      </c>
      <c r="F5" s="53" t="s">
        <v>249</v>
      </c>
    </row>
    <row r="6" spans="1:6" s="54" customFormat="1" ht="34.35" customHeight="1">
      <c r="A6" s="55" t="s">
        <v>292</v>
      </c>
      <c r="B6" s="55"/>
      <c r="C6" s="55"/>
      <c r="D6" s="55"/>
      <c r="E6" s="55"/>
      <c r="F6" s="56"/>
    </row>
    <row r="7" spans="1:6" s="54" customFormat="1">
      <c r="A7" s="156" t="s">
        <v>293</v>
      </c>
      <c r="B7" t="s">
        <v>294</v>
      </c>
      <c r="C7" t="s">
        <v>295</v>
      </c>
      <c r="D7" s="57">
        <v>9078000</v>
      </c>
      <c r="E7" s="57">
        <v>8253000</v>
      </c>
      <c r="F7" s="57"/>
    </row>
    <row r="8" spans="1:6" s="54" customFormat="1">
      <c r="A8" s="156"/>
      <c r="B8" t="s">
        <v>296</v>
      </c>
      <c r="C8" t="s">
        <v>297</v>
      </c>
      <c r="D8" s="57">
        <v>9353000</v>
      </c>
      <c r="E8" s="57">
        <v>8503000</v>
      </c>
      <c r="F8" s="57"/>
    </row>
    <row r="9" spans="1:6" s="54" customFormat="1">
      <c r="A9" s="160" t="s">
        <v>298</v>
      </c>
      <c r="B9" s="58" t="s">
        <v>299</v>
      </c>
      <c r="C9" s="58" t="s">
        <v>300</v>
      </c>
      <c r="D9" s="57">
        <v>68497000</v>
      </c>
      <c r="E9" s="57">
        <v>62270000</v>
      </c>
      <c r="F9" s="57" t="s">
        <v>301</v>
      </c>
    </row>
    <row r="10" spans="1:6" s="54" customFormat="1">
      <c r="A10" s="160"/>
      <c r="B10" s="58" t="s">
        <v>302</v>
      </c>
      <c r="C10" s="58" t="s">
        <v>303</v>
      </c>
      <c r="D10" s="57">
        <v>54990000</v>
      </c>
      <c r="E10" s="57">
        <v>49991000</v>
      </c>
      <c r="F10" s="57" t="s">
        <v>304</v>
      </c>
    </row>
    <row r="11" spans="1:6" s="54" customFormat="1">
      <c r="A11" s="156" t="s">
        <v>305</v>
      </c>
      <c r="B11" t="s">
        <v>306</v>
      </c>
      <c r="C11" t="s">
        <v>307</v>
      </c>
      <c r="D11" s="57">
        <v>9380000</v>
      </c>
      <c r="E11" s="57">
        <v>8528000</v>
      </c>
      <c r="F11" s="57" t="s">
        <v>304</v>
      </c>
    </row>
    <row r="12" spans="1:6" s="54" customFormat="1">
      <c r="A12" s="156"/>
      <c r="B12" t="s">
        <v>308</v>
      </c>
      <c r="C12" t="s">
        <v>309</v>
      </c>
      <c r="D12" s="57">
        <v>5034000</v>
      </c>
      <c r="E12" s="57">
        <v>4576000</v>
      </c>
      <c r="F12" s="57" t="s">
        <v>304</v>
      </c>
    </row>
    <row r="13" spans="1:6" s="54" customFormat="1">
      <c r="A13" s="156"/>
      <c r="B13" t="s">
        <v>310</v>
      </c>
      <c r="C13" t="s">
        <v>311</v>
      </c>
      <c r="D13" s="57">
        <v>6575000</v>
      </c>
      <c r="E13" s="57">
        <v>5977000</v>
      </c>
      <c r="F13" s="57" t="s">
        <v>304</v>
      </c>
    </row>
    <row r="14" spans="1:6" s="54" customFormat="1">
      <c r="A14" s="156"/>
      <c r="B14" t="s">
        <v>312</v>
      </c>
      <c r="C14" t="s">
        <v>313</v>
      </c>
      <c r="D14" s="57">
        <v>5639000</v>
      </c>
      <c r="E14" s="57">
        <v>5127000</v>
      </c>
      <c r="F14" s="57" t="s">
        <v>304</v>
      </c>
    </row>
    <row r="15" spans="1:6" s="54" customFormat="1">
      <c r="A15" s="156"/>
      <c r="B15" t="s">
        <v>314</v>
      </c>
      <c r="C15" t="s">
        <v>315</v>
      </c>
      <c r="D15" s="57">
        <v>8335000</v>
      </c>
      <c r="E15" s="57">
        <v>7577000</v>
      </c>
      <c r="F15" s="57" t="s">
        <v>304</v>
      </c>
    </row>
    <row r="16" spans="1:6" s="54" customFormat="1">
      <c r="A16" s="156"/>
      <c r="B16" t="s">
        <v>316</v>
      </c>
      <c r="C16" t="s">
        <v>317</v>
      </c>
      <c r="D16" s="57">
        <v>6877000</v>
      </c>
      <c r="E16" s="57">
        <v>6252000</v>
      </c>
      <c r="F16" s="57" t="s">
        <v>304</v>
      </c>
    </row>
    <row r="17" spans="1:6" s="54" customFormat="1">
      <c r="A17" s="156"/>
      <c r="B17" t="s">
        <v>318</v>
      </c>
      <c r="C17" t="s">
        <v>319</v>
      </c>
      <c r="D17" s="57">
        <v>8940000</v>
      </c>
      <c r="E17" s="57">
        <v>8128000</v>
      </c>
      <c r="F17" s="57" t="s">
        <v>304</v>
      </c>
    </row>
    <row r="18" spans="1:6" s="54" customFormat="1">
      <c r="A18" s="156"/>
      <c r="B18" t="s">
        <v>320</v>
      </c>
      <c r="C18" t="s">
        <v>321</v>
      </c>
      <c r="D18" s="57">
        <v>7950000</v>
      </c>
      <c r="E18" s="57">
        <v>7227000</v>
      </c>
      <c r="F18" s="57" t="s">
        <v>301</v>
      </c>
    </row>
    <row r="19" spans="1:6" s="54" customFormat="1">
      <c r="A19" s="156"/>
      <c r="B19" t="s">
        <v>322</v>
      </c>
      <c r="C19" t="s">
        <v>323</v>
      </c>
      <c r="D19" s="57">
        <v>9243000</v>
      </c>
      <c r="E19" s="57">
        <v>8403000</v>
      </c>
      <c r="F19" s="57" t="s">
        <v>301</v>
      </c>
    </row>
    <row r="20" spans="1:6" s="54" customFormat="1">
      <c r="A20" s="156"/>
      <c r="B20" s="54" t="s">
        <v>324</v>
      </c>
      <c r="C20" s="54" t="s">
        <v>325</v>
      </c>
      <c r="D20" s="59">
        <v>11609000</v>
      </c>
      <c r="E20" s="59">
        <v>10553000</v>
      </c>
      <c r="F20" s="57" t="s">
        <v>301</v>
      </c>
    </row>
    <row r="21" spans="1:6" s="54" customFormat="1">
      <c r="A21" s="156"/>
      <c r="B21" s="54" t="s">
        <v>326</v>
      </c>
      <c r="C21" s="54" t="s">
        <v>327</v>
      </c>
      <c r="D21" s="59">
        <v>12104000</v>
      </c>
      <c r="E21" s="59">
        <v>11003000</v>
      </c>
      <c r="F21" s="57" t="s">
        <v>301</v>
      </c>
    </row>
    <row r="22" spans="1:6" s="54" customFormat="1">
      <c r="A22" s="156"/>
      <c r="B22" s="54" t="s">
        <v>328</v>
      </c>
      <c r="C22" s="54" t="s">
        <v>329</v>
      </c>
      <c r="D22" s="59">
        <v>14580000</v>
      </c>
      <c r="E22" s="59">
        <v>13254000</v>
      </c>
      <c r="F22" s="57" t="s">
        <v>301</v>
      </c>
    </row>
    <row r="23" spans="1:6" s="54" customFormat="1">
      <c r="A23" s="156"/>
      <c r="B23" s="54" t="s">
        <v>330</v>
      </c>
      <c r="C23" s="54" t="s">
        <v>331</v>
      </c>
      <c r="D23" s="59">
        <v>16780000</v>
      </c>
      <c r="E23" s="59">
        <v>15255000</v>
      </c>
      <c r="F23" s="57" t="s">
        <v>301</v>
      </c>
    </row>
    <row r="24" spans="1:6" s="54" customFormat="1">
      <c r="A24" s="160" t="s">
        <v>332</v>
      </c>
      <c r="B24" s="60" t="s">
        <v>333</v>
      </c>
      <c r="C24" s="60" t="s">
        <v>334</v>
      </c>
      <c r="D24" s="59">
        <v>15597000</v>
      </c>
      <c r="E24" s="59">
        <v>14179000</v>
      </c>
      <c r="F24" s="57" t="s">
        <v>304</v>
      </c>
    </row>
    <row r="25" spans="1:6" s="54" customFormat="1">
      <c r="A25" s="160"/>
      <c r="B25" s="60" t="s">
        <v>335</v>
      </c>
      <c r="C25" s="60" t="s">
        <v>336</v>
      </c>
      <c r="D25" s="59">
        <v>23492000</v>
      </c>
      <c r="E25" s="59">
        <v>21357000</v>
      </c>
      <c r="F25" s="57" t="s">
        <v>304</v>
      </c>
    </row>
    <row r="26" spans="1:6" s="54" customFormat="1">
      <c r="A26" s="160"/>
      <c r="B26" s="60" t="s">
        <v>337</v>
      </c>
      <c r="C26" s="60" t="s">
        <v>338</v>
      </c>
      <c r="D26" s="59">
        <v>22640000</v>
      </c>
      <c r="E26" s="59">
        <v>20581000</v>
      </c>
      <c r="F26" s="57" t="s">
        <v>304</v>
      </c>
    </row>
    <row r="27" spans="1:6" s="54" customFormat="1">
      <c r="A27" s="160"/>
      <c r="B27" s="60" t="s">
        <v>339</v>
      </c>
      <c r="C27" s="60" t="s">
        <v>340</v>
      </c>
      <c r="D27" s="59">
        <v>22640000</v>
      </c>
      <c r="E27" s="59">
        <v>20581000</v>
      </c>
      <c r="F27" s="57" t="s">
        <v>304</v>
      </c>
    </row>
    <row r="28" spans="1:6" s="54" customFormat="1">
      <c r="A28" s="160"/>
      <c r="B28" s="60" t="s">
        <v>341</v>
      </c>
      <c r="C28" s="60" t="s">
        <v>342</v>
      </c>
      <c r="D28" s="59">
        <v>44261000</v>
      </c>
      <c r="E28" s="59">
        <v>40238000</v>
      </c>
      <c r="F28" s="57" t="s">
        <v>304</v>
      </c>
    </row>
    <row r="29" spans="1:6" s="54" customFormat="1">
      <c r="A29" s="160"/>
      <c r="B29" s="60" t="s">
        <v>343</v>
      </c>
      <c r="C29" s="60" t="s">
        <v>344</v>
      </c>
      <c r="D29" s="59">
        <v>27454000</v>
      </c>
      <c r="E29" s="59">
        <v>24958000</v>
      </c>
      <c r="F29" s="57" t="s">
        <v>301</v>
      </c>
    </row>
    <row r="30" spans="1:6" s="54" customFormat="1" ht="30">
      <c r="A30" s="61" t="s">
        <v>345</v>
      </c>
      <c r="B30" s="11" t="s">
        <v>346</v>
      </c>
      <c r="C30" s="11" t="s">
        <v>347</v>
      </c>
      <c r="D30" s="57">
        <v>6877000</v>
      </c>
      <c r="E30" s="57">
        <v>6252000</v>
      </c>
      <c r="F30" s="62"/>
    </row>
    <row r="31" spans="1:6" s="54" customFormat="1">
      <c r="A31" s="61"/>
      <c r="B31" s="11" t="s">
        <v>348</v>
      </c>
      <c r="C31" s="11" t="s">
        <v>349</v>
      </c>
      <c r="D31" s="57">
        <v>6052000</v>
      </c>
      <c r="E31" s="57">
        <v>5502000</v>
      </c>
      <c r="F31" s="62"/>
    </row>
    <row r="32" spans="1:6" s="54" customFormat="1">
      <c r="A32" s="160" t="s">
        <v>350</v>
      </c>
      <c r="B32" s="63" t="s">
        <v>351</v>
      </c>
      <c r="C32" s="63" t="s">
        <v>352</v>
      </c>
      <c r="D32" s="57">
        <v>330000</v>
      </c>
      <c r="E32" s="57">
        <v>300000</v>
      </c>
      <c r="F32" s="57" t="s">
        <v>353</v>
      </c>
    </row>
    <row r="33" spans="1:6" s="54" customFormat="1">
      <c r="A33" s="160"/>
      <c r="B33" s="63" t="s">
        <v>354</v>
      </c>
      <c r="C33" s="63" t="s">
        <v>355</v>
      </c>
      <c r="D33" s="57">
        <v>358000</v>
      </c>
      <c r="E33" s="57">
        <v>325000</v>
      </c>
      <c r="F33" s="57" t="s">
        <v>353</v>
      </c>
    </row>
    <row r="34" spans="1:6" s="54" customFormat="1">
      <c r="A34" s="160"/>
      <c r="B34" s="63" t="s">
        <v>356</v>
      </c>
      <c r="C34" s="63" t="s">
        <v>357</v>
      </c>
      <c r="D34" s="57">
        <v>330000</v>
      </c>
      <c r="E34" s="57">
        <v>300000</v>
      </c>
      <c r="F34" s="57" t="s">
        <v>353</v>
      </c>
    </row>
    <row r="35" spans="1:6" s="54" customFormat="1">
      <c r="A35" s="160"/>
      <c r="B35" s="63" t="s">
        <v>358</v>
      </c>
      <c r="C35" s="63" t="s">
        <v>359</v>
      </c>
      <c r="D35" s="57">
        <v>275000</v>
      </c>
      <c r="E35" s="57">
        <v>250000</v>
      </c>
      <c r="F35" s="57" t="s">
        <v>353</v>
      </c>
    </row>
    <row r="36" spans="1:6" s="54" customFormat="1">
      <c r="A36" s="160"/>
      <c r="B36" s="63" t="s">
        <v>360</v>
      </c>
      <c r="C36" s="63" t="s">
        <v>361</v>
      </c>
      <c r="D36" s="57">
        <v>468000</v>
      </c>
      <c r="E36" s="57">
        <v>425000</v>
      </c>
      <c r="F36" s="57" t="s">
        <v>353</v>
      </c>
    </row>
    <row r="37" spans="1:6" s="54" customFormat="1">
      <c r="A37" s="160"/>
      <c r="B37" s="63" t="s">
        <v>362</v>
      </c>
      <c r="C37" s="63" t="s">
        <v>363</v>
      </c>
      <c r="D37" s="57">
        <v>1073000</v>
      </c>
      <c r="E37" s="57">
        <v>975000</v>
      </c>
      <c r="F37" s="57" t="s">
        <v>353</v>
      </c>
    </row>
    <row r="38" spans="1:6" s="54" customFormat="1">
      <c r="A38" s="160"/>
      <c r="B38" s="63" t="s">
        <v>364</v>
      </c>
      <c r="C38" s="63" t="s">
        <v>365</v>
      </c>
      <c r="D38" s="57">
        <v>1871000</v>
      </c>
      <c r="E38" s="57">
        <v>1701000</v>
      </c>
      <c r="F38" s="57" t="s">
        <v>353</v>
      </c>
    </row>
    <row r="39" spans="1:6" s="54" customFormat="1">
      <c r="A39" s="160"/>
      <c r="B39" s="63" t="s">
        <v>366</v>
      </c>
      <c r="C39" s="63" t="s">
        <v>367</v>
      </c>
      <c r="D39" s="57">
        <v>275000</v>
      </c>
      <c r="E39" s="57">
        <v>250000</v>
      </c>
      <c r="F39" s="57" t="s">
        <v>368</v>
      </c>
    </row>
    <row r="40" spans="1:6" s="54" customFormat="1">
      <c r="A40" s="160"/>
      <c r="B40" s="63" t="s">
        <v>369</v>
      </c>
      <c r="C40" s="63" t="s">
        <v>370</v>
      </c>
      <c r="D40" s="57">
        <v>275000</v>
      </c>
      <c r="E40" s="57">
        <v>250000</v>
      </c>
      <c r="F40" s="57" t="s">
        <v>368</v>
      </c>
    </row>
    <row r="41" spans="1:6" s="54" customFormat="1">
      <c r="A41" s="160"/>
      <c r="B41" s="63" t="s">
        <v>371</v>
      </c>
      <c r="C41" s="63" t="s">
        <v>372</v>
      </c>
      <c r="D41" s="57">
        <v>330000</v>
      </c>
      <c r="E41" s="57">
        <v>300000</v>
      </c>
      <c r="F41" s="57" t="s">
        <v>368</v>
      </c>
    </row>
    <row r="42" spans="1:6" s="54" customFormat="1">
      <c r="A42" s="160"/>
      <c r="B42" s="63" t="s">
        <v>373</v>
      </c>
      <c r="C42" s="63" t="s">
        <v>374</v>
      </c>
      <c r="D42" s="57">
        <v>605000</v>
      </c>
      <c r="E42" s="57">
        <v>550000</v>
      </c>
      <c r="F42" s="57" t="s">
        <v>368</v>
      </c>
    </row>
    <row r="43" spans="1:6" s="54" customFormat="1">
      <c r="A43" s="160"/>
      <c r="B43" s="63" t="s">
        <v>375</v>
      </c>
      <c r="C43" s="63" t="s">
        <v>376</v>
      </c>
      <c r="D43" s="57">
        <v>1018000</v>
      </c>
      <c r="E43" s="57">
        <v>925000</v>
      </c>
      <c r="F43" s="57" t="s">
        <v>368</v>
      </c>
    </row>
    <row r="44" spans="1:6" s="54" customFormat="1">
      <c r="A44" s="160"/>
      <c r="B44" s="63" t="s">
        <v>377</v>
      </c>
      <c r="C44" s="63" t="s">
        <v>378</v>
      </c>
      <c r="D44" s="57">
        <v>2146000</v>
      </c>
      <c r="E44" s="57">
        <v>1951000</v>
      </c>
      <c r="F44" s="57" t="s">
        <v>368</v>
      </c>
    </row>
    <row r="45" spans="1:6" s="54" customFormat="1">
      <c r="A45" s="160"/>
      <c r="B45" s="63" t="s">
        <v>379</v>
      </c>
      <c r="C45" s="63" t="s">
        <v>380</v>
      </c>
      <c r="D45" s="57">
        <v>1651000</v>
      </c>
      <c r="E45" s="57">
        <v>1500000</v>
      </c>
      <c r="F45" s="57" t="s">
        <v>368</v>
      </c>
    </row>
    <row r="46" spans="1:6" s="54" customFormat="1">
      <c r="A46" s="160"/>
      <c r="B46" s="63" t="s">
        <v>381</v>
      </c>
      <c r="C46" s="63" t="s">
        <v>382</v>
      </c>
      <c r="D46" s="57">
        <v>1898000</v>
      </c>
      <c r="E46" s="57">
        <v>1726000</v>
      </c>
      <c r="F46" s="57" t="s">
        <v>368</v>
      </c>
    </row>
    <row r="47" spans="1:6" s="54" customFormat="1">
      <c r="A47" s="160"/>
      <c r="B47" s="63" t="s">
        <v>383</v>
      </c>
      <c r="C47" s="63" t="s">
        <v>384</v>
      </c>
      <c r="D47" s="57">
        <v>2503000</v>
      </c>
      <c r="E47" s="57">
        <v>2276000</v>
      </c>
      <c r="F47" s="57" t="s">
        <v>368</v>
      </c>
    </row>
    <row r="48" spans="1:6" s="54" customFormat="1">
      <c r="A48" s="160"/>
      <c r="B48" s="63" t="s">
        <v>385</v>
      </c>
      <c r="C48" s="63" t="s">
        <v>386</v>
      </c>
      <c r="D48" s="57">
        <v>825000</v>
      </c>
      <c r="E48" s="57">
        <v>750000</v>
      </c>
      <c r="F48" s="57" t="s">
        <v>368</v>
      </c>
    </row>
    <row r="49" spans="1:6" s="54" customFormat="1">
      <c r="A49" s="160"/>
      <c r="B49" s="63" t="s">
        <v>387</v>
      </c>
      <c r="C49" s="63" t="s">
        <v>388</v>
      </c>
      <c r="D49" s="57">
        <v>1128000</v>
      </c>
      <c r="E49" s="57">
        <v>1025000</v>
      </c>
      <c r="F49" s="57" t="s">
        <v>368</v>
      </c>
    </row>
    <row r="50" spans="1:6" s="54" customFormat="1">
      <c r="A50" s="160"/>
      <c r="B50" s="63" t="s">
        <v>389</v>
      </c>
      <c r="C50" s="63" t="s">
        <v>390</v>
      </c>
      <c r="D50" s="57">
        <v>2476000</v>
      </c>
      <c r="E50" s="57">
        <v>2251000</v>
      </c>
      <c r="F50" s="57" t="s">
        <v>368</v>
      </c>
    </row>
    <row r="51" spans="1:6" s="54" customFormat="1" ht="18" customHeight="1">
      <c r="A51" s="55" t="s">
        <v>391</v>
      </c>
      <c r="B51" s="55"/>
      <c r="C51" s="55"/>
      <c r="D51" s="55"/>
      <c r="E51" s="55"/>
      <c r="F51" s="56"/>
    </row>
    <row r="52" spans="1:6" s="54" customFormat="1">
      <c r="A52" s="156" t="s">
        <v>392</v>
      </c>
      <c r="B52" t="s">
        <v>393</v>
      </c>
      <c r="C52" s="64" t="s">
        <v>394</v>
      </c>
      <c r="D52" s="57"/>
      <c r="E52" s="57"/>
    </row>
    <row r="53" spans="1:6" s="54" customFormat="1">
      <c r="A53" s="156"/>
      <c r="B53" t="s">
        <v>395</v>
      </c>
      <c r="C53" s="64" t="s">
        <v>396</v>
      </c>
      <c r="D53" s="57"/>
      <c r="E53" s="57"/>
    </row>
    <row r="54" spans="1:6" s="54" customFormat="1">
      <c r="A54" s="160" t="s">
        <v>397</v>
      </c>
      <c r="B54" s="58" t="s">
        <v>398</v>
      </c>
      <c r="C54" s="65" t="s">
        <v>394</v>
      </c>
      <c r="D54" s="57"/>
      <c r="E54" s="57"/>
    </row>
    <row r="55" spans="1:6" s="54" customFormat="1">
      <c r="A55" s="160"/>
      <c r="B55" s="58" t="s">
        <v>399</v>
      </c>
      <c r="C55" s="65" t="s">
        <v>396</v>
      </c>
      <c r="D55" s="57"/>
      <c r="E55" s="57"/>
    </row>
    <row r="56" spans="1:6" s="54" customFormat="1">
      <c r="A56" s="156" t="s">
        <v>400</v>
      </c>
      <c r="B56" t="s">
        <v>401</v>
      </c>
      <c r="C56" s="64" t="s">
        <v>394</v>
      </c>
      <c r="D56" s="57"/>
      <c r="E56" s="57"/>
    </row>
    <row r="57" spans="1:6" s="54" customFormat="1">
      <c r="A57" s="156"/>
      <c r="B57" t="s">
        <v>402</v>
      </c>
      <c r="C57" s="64" t="s">
        <v>396</v>
      </c>
      <c r="D57" s="57"/>
      <c r="E57" s="57"/>
    </row>
    <row r="58" spans="1:6" s="54" customFormat="1">
      <c r="A58" s="160" t="s">
        <v>403</v>
      </c>
      <c r="B58" s="58" t="s">
        <v>404</v>
      </c>
      <c r="C58" s="65" t="s">
        <v>394</v>
      </c>
      <c r="D58" s="57"/>
      <c r="E58" s="57"/>
      <c r="F58" s="54" t="s">
        <v>405</v>
      </c>
    </row>
    <row r="59" spans="1:6" s="54" customFormat="1">
      <c r="A59" s="160"/>
      <c r="B59" s="58" t="s">
        <v>406</v>
      </c>
      <c r="C59" s="65" t="s">
        <v>396</v>
      </c>
      <c r="D59" s="57"/>
      <c r="E59" s="57"/>
    </row>
    <row r="60" spans="1:6" s="54" customFormat="1">
      <c r="A60" s="156" t="s">
        <v>407</v>
      </c>
      <c r="B60" t="s">
        <v>408</v>
      </c>
      <c r="C60" s="64" t="s">
        <v>394</v>
      </c>
      <c r="D60" s="57"/>
      <c r="E60" s="57"/>
    </row>
    <row r="61" spans="1:6" s="54" customFormat="1">
      <c r="A61" s="156"/>
      <c r="B61" t="s">
        <v>409</v>
      </c>
      <c r="C61" s="64" t="s">
        <v>396</v>
      </c>
      <c r="D61" s="57"/>
      <c r="E61" s="57"/>
    </row>
    <row r="62" spans="1:6" s="54" customFormat="1">
      <c r="A62" s="160" t="s">
        <v>410</v>
      </c>
      <c r="B62" s="58" t="s">
        <v>411</v>
      </c>
      <c r="C62" s="65" t="s">
        <v>394</v>
      </c>
      <c r="D62" s="57"/>
      <c r="E62" s="57"/>
    </row>
    <row r="63" spans="1:6" s="54" customFormat="1">
      <c r="A63" s="160"/>
      <c r="B63" s="58" t="s">
        <v>412</v>
      </c>
      <c r="C63" s="65" t="s">
        <v>396</v>
      </c>
      <c r="D63" s="57"/>
      <c r="E63" s="57"/>
    </row>
    <row r="64" spans="1:6" s="54" customFormat="1" ht="30" customHeight="1">
      <c r="A64" s="66" t="s">
        <v>413</v>
      </c>
      <c r="B64" s="55"/>
      <c r="C64" s="55"/>
      <c r="D64" s="55"/>
      <c r="E64" s="55"/>
      <c r="F64" s="56"/>
    </row>
    <row r="65" spans="1:6" s="54" customFormat="1" ht="15" customHeight="1">
      <c r="A65" s="161" t="s">
        <v>414</v>
      </c>
      <c r="B65" s="67" t="s">
        <v>415</v>
      </c>
      <c r="C65" s="68" t="s">
        <v>416</v>
      </c>
      <c r="D65" s="57">
        <v>550000</v>
      </c>
      <c r="E65" s="57">
        <v>500000</v>
      </c>
      <c r="F65" s="57"/>
    </row>
    <row r="66" spans="1:6" s="54" customFormat="1">
      <c r="A66" s="161"/>
      <c r="B66" s="67" t="s">
        <v>417</v>
      </c>
      <c r="C66" s="69" t="s">
        <v>418</v>
      </c>
      <c r="D66" s="57">
        <v>550000</v>
      </c>
      <c r="E66" s="57">
        <v>500000</v>
      </c>
      <c r="F66" s="57"/>
    </row>
    <row r="67" spans="1:6" s="54" customFormat="1">
      <c r="A67" s="161"/>
      <c r="B67" s="67" t="s">
        <v>419</v>
      </c>
      <c r="C67" s="69" t="s">
        <v>420</v>
      </c>
      <c r="D67" s="57">
        <v>550000</v>
      </c>
      <c r="E67" s="57">
        <v>500000</v>
      </c>
      <c r="F67" s="57"/>
    </row>
    <row r="68" spans="1:6" s="54" customFormat="1">
      <c r="A68" s="161"/>
      <c r="B68" s="67" t="s">
        <v>421</v>
      </c>
      <c r="C68" s="69" t="s">
        <v>422</v>
      </c>
      <c r="D68" s="57">
        <v>550000</v>
      </c>
      <c r="E68" s="57">
        <v>500000</v>
      </c>
      <c r="F68" s="57"/>
    </row>
    <row r="69" spans="1:6" s="54" customFormat="1">
      <c r="A69" s="161"/>
      <c r="B69" s="67" t="s">
        <v>423</v>
      </c>
      <c r="C69" s="69" t="s">
        <v>424</v>
      </c>
      <c r="D69" s="57">
        <v>550000</v>
      </c>
      <c r="E69" s="57">
        <v>500000</v>
      </c>
      <c r="F69" s="57"/>
    </row>
    <row r="70" spans="1:6" s="54" customFormat="1">
      <c r="A70" s="161"/>
      <c r="B70" s="67" t="s">
        <v>425</v>
      </c>
      <c r="C70" s="69" t="s">
        <v>426</v>
      </c>
      <c r="D70" s="57">
        <v>578000</v>
      </c>
      <c r="E70" s="57">
        <v>525000</v>
      </c>
      <c r="F70" s="57"/>
    </row>
    <row r="71" spans="1:6" s="54" customFormat="1">
      <c r="A71" s="161"/>
      <c r="B71" s="67" t="s">
        <v>427</v>
      </c>
      <c r="C71" s="69" t="s">
        <v>428</v>
      </c>
      <c r="D71" s="57">
        <v>825000</v>
      </c>
      <c r="E71" s="57">
        <v>750000</v>
      </c>
      <c r="F71" s="57"/>
    </row>
    <row r="72" spans="1:6" s="54" customFormat="1">
      <c r="A72" s="161"/>
      <c r="B72" s="67" t="s">
        <v>429</v>
      </c>
      <c r="C72" s="70" t="s">
        <v>430</v>
      </c>
      <c r="D72" s="57">
        <v>770000</v>
      </c>
      <c r="E72" s="57">
        <v>700000</v>
      </c>
      <c r="F72" s="57"/>
    </row>
    <row r="73" spans="1:6" s="54" customFormat="1">
      <c r="A73" s="161"/>
      <c r="B73" s="67" t="s">
        <v>431</v>
      </c>
      <c r="C73" s="70" t="s">
        <v>432</v>
      </c>
      <c r="D73" s="57">
        <v>908000</v>
      </c>
      <c r="E73" s="57">
        <v>825000</v>
      </c>
      <c r="F73" s="71"/>
    </row>
    <row r="74" spans="1:6" s="54" customFormat="1">
      <c r="A74" s="161"/>
      <c r="B74" s="67" t="s">
        <v>433</v>
      </c>
      <c r="C74" s="70" t="s">
        <v>434</v>
      </c>
      <c r="D74" s="57">
        <v>1898000</v>
      </c>
      <c r="E74" s="57">
        <v>1726000</v>
      </c>
      <c r="F74" s="71"/>
    </row>
    <row r="75" spans="1:6" s="54" customFormat="1">
      <c r="A75" s="161"/>
      <c r="B75" s="67" t="s">
        <v>435</v>
      </c>
      <c r="C75" s="70" t="s">
        <v>436</v>
      </c>
      <c r="D75" s="57">
        <v>2201000</v>
      </c>
      <c r="E75" s="57">
        <v>2001000</v>
      </c>
      <c r="F75" s="71"/>
    </row>
    <row r="76" spans="1:6" s="54" customFormat="1">
      <c r="A76" s="161"/>
      <c r="B76" s="72" t="s">
        <v>437</v>
      </c>
      <c r="C76" s="70" t="s">
        <v>438</v>
      </c>
      <c r="D76" s="57">
        <v>798000</v>
      </c>
      <c r="E76" s="57">
        <v>725000</v>
      </c>
      <c r="F76" s="57"/>
    </row>
    <row r="77" spans="1:6" s="54" customFormat="1" ht="14.25" customHeight="1">
      <c r="A77" s="161"/>
      <c r="B77" s="67" t="s">
        <v>439</v>
      </c>
      <c r="C77" s="73" t="s">
        <v>440</v>
      </c>
      <c r="D77" s="57">
        <v>18238000</v>
      </c>
      <c r="E77" s="57">
        <v>16580000</v>
      </c>
      <c r="F77"/>
    </row>
    <row r="78" spans="1:6" s="54" customFormat="1" ht="14.25" customHeight="1">
      <c r="A78" s="161"/>
      <c r="B78" s="67" t="s">
        <v>441</v>
      </c>
      <c r="C78" s="73" t="s">
        <v>442</v>
      </c>
      <c r="D78" s="57">
        <v>31442000</v>
      </c>
      <c r="E78" s="57">
        <v>28584000</v>
      </c>
      <c r="F78"/>
    </row>
    <row r="79" spans="1:6" s="54" customFormat="1" ht="14.25" customHeight="1">
      <c r="A79" s="161"/>
      <c r="B79" s="67" t="s">
        <v>443</v>
      </c>
      <c r="C79" s="73" t="s">
        <v>444</v>
      </c>
      <c r="D79" s="57">
        <v>45032000</v>
      </c>
      <c r="E79" s="57">
        <v>40938000</v>
      </c>
      <c r="F79"/>
    </row>
    <row r="80" spans="1:6" s="54" customFormat="1" ht="14.25" customHeight="1">
      <c r="A80" s="155" t="s">
        <v>445</v>
      </c>
      <c r="B80" t="s">
        <v>446</v>
      </c>
      <c r="C80" s="54" t="s">
        <v>447</v>
      </c>
      <c r="D80" s="57">
        <v>79582000</v>
      </c>
      <c r="E80" s="57">
        <v>72348000</v>
      </c>
      <c r="F80"/>
    </row>
    <row r="81" spans="1:6" s="54" customFormat="1" ht="14.25" customHeight="1">
      <c r="A81" s="155"/>
      <c r="B81" t="s">
        <v>448</v>
      </c>
      <c r="C81" s="54" t="s">
        <v>449</v>
      </c>
      <c r="D81" s="57">
        <v>81288000</v>
      </c>
      <c r="E81" s="57">
        <v>73898000</v>
      </c>
      <c r="F81" s="57"/>
    </row>
    <row r="82" spans="1:6" s="54" customFormat="1">
      <c r="A82" s="155"/>
      <c r="B82" t="s">
        <v>450</v>
      </c>
      <c r="C82" s="54" t="s">
        <v>451</v>
      </c>
      <c r="D82" s="57">
        <v>125935000</v>
      </c>
      <c r="E82" s="57">
        <v>114486000</v>
      </c>
      <c r="F82" s="57"/>
    </row>
    <row r="83" spans="1:6" s="54" customFormat="1">
      <c r="A83" s="155"/>
      <c r="B83" t="s">
        <v>452</v>
      </c>
      <c r="C83" s="54" t="s">
        <v>453</v>
      </c>
      <c r="D83" s="57">
        <v>113776000</v>
      </c>
      <c r="E83" s="57">
        <v>103432000</v>
      </c>
      <c r="F83" s="57"/>
    </row>
    <row r="84" spans="1:6" s="54" customFormat="1">
      <c r="A84" s="155"/>
      <c r="B84" t="s">
        <v>454</v>
      </c>
      <c r="C84" s="54" t="s">
        <v>455</v>
      </c>
      <c r="D84" s="57">
        <v>134435000</v>
      </c>
      <c r="E84" s="57">
        <v>122213000</v>
      </c>
      <c r="F84" s="57"/>
    </row>
    <row r="85" spans="1:6" s="54" customFormat="1">
      <c r="A85" s="155"/>
      <c r="B85" t="s">
        <v>456</v>
      </c>
      <c r="C85" s="54" t="s">
        <v>457</v>
      </c>
      <c r="D85" s="57">
        <v>115646000</v>
      </c>
      <c r="E85" s="57">
        <v>105133000</v>
      </c>
      <c r="F85" s="57"/>
    </row>
    <row r="86" spans="1:6" s="54" customFormat="1">
      <c r="A86" s="155"/>
      <c r="B86" t="s">
        <v>458</v>
      </c>
      <c r="C86" s="54" t="s">
        <v>459</v>
      </c>
      <c r="D86" s="57">
        <v>99664000</v>
      </c>
      <c r="E86" s="57">
        <v>90603000</v>
      </c>
      <c r="F86" s="57"/>
    </row>
    <row r="87" spans="1:6" s="54" customFormat="1">
      <c r="A87" s="161" t="s">
        <v>460</v>
      </c>
      <c r="B87" s="67" t="s">
        <v>461</v>
      </c>
      <c r="C87" s="73" t="s">
        <v>462</v>
      </c>
      <c r="D87" s="57">
        <v>18458000</v>
      </c>
      <c r="E87" s="57">
        <v>16780000</v>
      </c>
      <c r="F87" s="57"/>
    </row>
    <row r="88" spans="1:6" s="54" customFormat="1">
      <c r="A88" s="161"/>
      <c r="B88" s="67" t="s">
        <v>463</v>
      </c>
      <c r="C88" s="73" t="s">
        <v>464</v>
      </c>
      <c r="D88" s="57">
        <v>11058000</v>
      </c>
      <c r="E88" s="57">
        <v>10053000</v>
      </c>
      <c r="F88" s="57"/>
    </row>
    <row r="89" spans="1:6" s="54" customFormat="1">
      <c r="A89" s="161"/>
      <c r="B89" s="67" t="s">
        <v>465</v>
      </c>
      <c r="C89" s="73" t="s">
        <v>466</v>
      </c>
      <c r="D89" s="57">
        <v>44289000</v>
      </c>
      <c r="E89" s="57">
        <v>40263000</v>
      </c>
      <c r="F89" s="57"/>
    </row>
    <row r="90" spans="1:6" s="54" customFormat="1" ht="18" customHeight="1">
      <c r="A90" s="55" t="s">
        <v>467</v>
      </c>
      <c r="B90" s="55"/>
      <c r="C90" s="55"/>
      <c r="D90" s="55"/>
      <c r="E90" s="55"/>
      <c r="F90" s="56"/>
    </row>
    <row r="91" spans="1:6" s="54" customFormat="1" ht="14.45" customHeight="1">
      <c r="A91" s="156" t="s">
        <v>392</v>
      </c>
      <c r="B91" t="s">
        <v>468</v>
      </c>
      <c r="C91" s="64" t="s">
        <v>469</v>
      </c>
      <c r="D91" s="57"/>
      <c r="E91" s="57"/>
    </row>
    <row r="92" spans="1:6" s="54" customFormat="1">
      <c r="A92" s="156"/>
      <c r="B92" t="s">
        <v>470</v>
      </c>
      <c r="C92" s="64" t="s">
        <v>471</v>
      </c>
      <c r="D92" s="57"/>
      <c r="E92" s="57"/>
    </row>
    <row r="93" spans="1:6" s="54" customFormat="1">
      <c r="A93" s="156"/>
      <c r="B93" t="s">
        <v>472</v>
      </c>
      <c r="C93" s="64" t="s">
        <v>473</v>
      </c>
      <c r="D93" s="57"/>
      <c r="E93" s="57"/>
    </row>
    <row r="94" spans="1:6" s="54" customFormat="1">
      <c r="A94" s="156"/>
      <c r="B94" t="s">
        <v>474</v>
      </c>
      <c r="C94" s="64" t="s">
        <v>475</v>
      </c>
      <c r="D94" s="57"/>
      <c r="E94" s="57"/>
    </row>
    <row r="95" spans="1:6" s="54" customFormat="1">
      <c r="A95" s="156"/>
      <c r="B95" t="s">
        <v>476</v>
      </c>
      <c r="C95" s="64" t="s">
        <v>477</v>
      </c>
      <c r="D95" s="57"/>
      <c r="E95" s="57"/>
    </row>
    <row r="96" spans="1:6" s="54" customFormat="1" ht="14.45" customHeight="1">
      <c r="A96" s="157" t="s">
        <v>397</v>
      </c>
      <c r="B96" s="67" t="s">
        <v>478</v>
      </c>
      <c r="C96" s="70" t="s">
        <v>469</v>
      </c>
      <c r="D96" s="57"/>
      <c r="E96" s="57"/>
    </row>
    <row r="97" spans="1:5" s="54" customFormat="1">
      <c r="A97" s="157"/>
      <c r="B97" s="67" t="s">
        <v>479</v>
      </c>
      <c r="C97" s="70" t="s">
        <v>471</v>
      </c>
      <c r="D97" s="57"/>
      <c r="E97" s="57"/>
    </row>
    <row r="98" spans="1:5" s="54" customFormat="1">
      <c r="A98" s="157"/>
      <c r="B98" s="67" t="s">
        <v>480</v>
      </c>
      <c r="C98" s="70" t="s">
        <v>473</v>
      </c>
      <c r="D98" s="57"/>
      <c r="E98" s="57"/>
    </row>
    <row r="99" spans="1:5" s="54" customFormat="1">
      <c r="A99" s="157"/>
      <c r="B99" s="67" t="s">
        <v>481</v>
      </c>
      <c r="C99" s="70" t="s">
        <v>475</v>
      </c>
      <c r="D99" s="57"/>
      <c r="E99" s="57"/>
    </row>
    <row r="100" spans="1:5" s="54" customFormat="1">
      <c r="A100" s="157"/>
      <c r="B100" s="67" t="s">
        <v>482</v>
      </c>
      <c r="C100" s="70" t="s">
        <v>477</v>
      </c>
      <c r="D100" s="57"/>
      <c r="E100" s="57"/>
    </row>
    <row r="101" spans="1:5" s="54" customFormat="1" ht="14.45" customHeight="1">
      <c r="A101" s="156" t="s">
        <v>400</v>
      </c>
      <c r="B101" t="s">
        <v>483</v>
      </c>
      <c r="C101" s="64" t="s">
        <v>469</v>
      </c>
      <c r="D101" s="57"/>
      <c r="E101" s="57"/>
    </row>
    <row r="102" spans="1:5" s="54" customFormat="1">
      <c r="A102" s="156"/>
      <c r="B102" t="s">
        <v>484</v>
      </c>
      <c r="C102" s="64" t="s">
        <v>471</v>
      </c>
      <c r="D102" s="57"/>
      <c r="E102" s="57"/>
    </row>
    <row r="103" spans="1:5" s="54" customFormat="1">
      <c r="A103" s="156"/>
      <c r="B103" t="s">
        <v>485</v>
      </c>
      <c r="C103" s="64" t="s">
        <v>473</v>
      </c>
      <c r="D103" s="57"/>
      <c r="E103" s="57"/>
    </row>
    <row r="104" spans="1:5" s="54" customFormat="1">
      <c r="A104" s="156"/>
      <c r="B104" t="s">
        <v>486</v>
      </c>
      <c r="C104" s="64" t="s">
        <v>475</v>
      </c>
      <c r="D104" s="57"/>
      <c r="E104" s="57"/>
    </row>
    <row r="105" spans="1:5" s="54" customFormat="1">
      <c r="A105" s="156"/>
      <c r="B105" t="s">
        <v>487</v>
      </c>
      <c r="C105" s="64" t="s">
        <v>477</v>
      </c>
      <c r="D105" s="57"/>
      <c r="E105" s="57"/>
    </row>
    <row r="106" spans="1:5" s="54" customFormat="1" ht="14.45" customHeight="1">
      <c r="A106" s="157" t="s">
        <v>403</v>
      </c>
      <c r="B106" s="67" t="s">
        <v>488</v>
      </c>
      <c r="C106" s="70" t="s">
        <v>469</v>
      </c>
      <c r="D106" s="57"/>
      <c r="E106" s="57"/>
    </row>
    <row r="107" spans="1:5" s="54" customFormat="1">
      <c r="A107" s="157"/>
      <c r="B107" s="67" t="s">
        <v>489</v>
      </c>
      <c r="C107" s="70" t="s">
        <v>471</v>
      </c>
      <c r="D107" s="57"/>
      <c r="E107" s="57"/>
    </row>
    <row r="108" spans="1:5" s="54" customFormat="1">
      <c r="A108" s="157"/>
      <c r="B108" s="67" t="s">
        <v>490</v>
      </c>
      <c r="C108" s="70" t="s">
        <v>473</v>
      </c>
      <c r="D108" s="57"/>
      <c r="E108" s="57"/>
    </row>
    <row r="109" spans="1:5" s="54" customFormat="1">
      <c r="A109" s="157"/>
      <c r="B109" s="67" t="s">
        <v>491</v>
      </c>
      <c r="C109" s="70" t="s">
        <v>475</v>
      </c>
      <c r="D109" s="57"/>
      <c r="E109" s="57"/>
    </row>
    <row r="110" spans="1:5" s="54" customFormat="1">
      <c r="A110" s="157"/>
      <c r="B110" s="67" t="s">
        <v>492</v>
      </c>
      <c r="C110" s="70" t="s">
        <v>477</v>
      </c>
      <c r="D110" s="57"/>
      <c r="E110" s="57"/>
    </row>
    <row r="111" spans="1:5" s="54" customFormat="1" ht="14.45" customHeight="1">
      <c r="A111" s="156" t="s">
        <v>407</v>
      </c>
      <c r="B111" t="s">
        <v>493</v>
      </c>
      <c r="C111" s="64" t="s">
        <v>469</v>
      </c>
      <c r="D111" s="57"/>
      <c r="E111" s="57"/>
    </row>
    <row r="112" spans="1:5" s="54" customFormat="1">
      <c r="A112" s="156"/>
      <c r="B112" t="s">
        <v>494</v>
      </c>
      <c r="C112" s="64" t="s">
        <v>471</v>
      </c>
      <c r="D112" s="57"/>
      <c r="E112" s="57"/>
    </row>
    <row r="113" spans="1:6" s="54" customFormat="1">
      <c r="A113" s="156"/>
      <c r="B113" t="s">
        <v>495</v>
      </c>
      <c r="C113" s="64" t="s">
        <v>473</v>
      </c>
      <c r="D113" s="57"/>
      <c r="E113" s="57"/>
    </row>
    <row r="114" spans="1:6" s="54" customFormat="1">
      <c r="A114" s="156"/>
      <c r="B114" t="s">
        <v>496</v>
      </c>
      <c r="C114" s="64" t="s">
        <v>475</v>
      </c>
      <c r="D114" s="57"/>
      <c r="E114" s="57"/>
    </row>
    <row r="115" spans="1:6" s="54" customFormat="1">
      <c r="A115" s="156"/>
      <c r="B115" t="s">
        <v>497</v>
      </c>
      <c r="C115" s="64" t="s">
        <v>477</v>
      </c>
      <c r="D115" s="57"/>
      <c r="E115" s="57"/>
    </row>
    <row r="116" spans="1:6" s="54" customFormat="1" ht="14.45" customHeight="1">
      <c r="A116" s="157" t="s">
        <v>410</v>
      </c>
      <c r="B116" s="67" t="s">
        <v>498</v>
      </c>
      <c r="C116" s="70" t="s">
        <v>469</v>
      </c>
      <c r="D116" s="57"/>
      <c r="E116" s="57"/>
    </row>
    <row r="117" spans="1:6" s="54" customFormat="1">
      <c r="A117" s="157"/>
      <c r="B117" s="67" t="s">
        <v>499</v>
      </c>
      <c r="C117" s="70" t="s">
        <v>471</v>
      </c>
      <c r="D117" s="57"/>
      <c r="E117" s="57"/>
    </row>
    <row r="118" spans="1:6" s="54" customFormat="1">
      <c r="A118" s="157"/>
      <c r="B118" s="67" t="s">
        <v>500</v>
      </c>
      <c r="C118" s="70" t="s">
        <v>473</v>
      </c>
      <c r="D118" s="57"/>
      <c r="E118" s="57"/>
    </row>
    <row r="119" spans="1:6" s="54" customFormat="1">
      <c r="A119" s="157"/>
      <c r="B119" s="67" t="s">
        <v>501</v>
      </c>
      <c r="C119" s="70" t="s">
        <v>475</v>
      </c>
      <c r="D119" s="57"/>
      <c r="E119" s="57"/>
    </row>
    <row r="120" spans="1:6" s="54" customFormat="1">
      <c r="A120" s="157"/>
      <c r="B120" s="67" t="s">
        <v>502</v>
      </c>
      <c r="C120" s="70" t="s">
        <v>477</v>
      </c>
      <c r="D120" s="57"/>
      <c r="E120" s="57"/>
    </row>
    <row r="121" spans="1:6" s="54" customFormat="1" ht="30" customHeight="1">
      <c r="A121" s="55" t="s">
        <v>503</v>
      </c>
      <c r="B121" s="55"/>
      <c r="C121" s="55"/>
      <c r="D121" s="55"/>
      <c r="E121" s="55"/>
      <c r="F121" s="56"/>
    </row>
    <row r="122" spans="1:6" s="54" customFormat="1" ht="14.45" customHeight="1">
      <c r="A122" s="158" t="s">
        <v>504</v>
      </c>
      <c r="B122" s="74" t="s">
        <v>505</v>
      </c>
      <c r="C122" s="75" t="s">
        <v>506</v>
      </c>
      <c r="D122" s="57">
        <v>10151000</v>
      </c>
      <c r="E122" s="57">
        <v>9228000</v>
      </c>
      <c r="F122" s="54" t="s">
        <v>507</v>
      </c>
    </row>
    <row r="123" spans="1:6" s="54" customFormat="1">
      <c r="A123" s="158"/>
      <c r="B123" s="74" t="s">
        <v>508</v>
      </c>
      <c r="C123" s="75" t="s">
        <v>509</v>
      </c>
      <c r="D123" s="57">
        <v>4319000</v>
      </c>
      <c r="E123" s="57">
        <v>3926000</v>
      </c>
      <c r="F123" s="54" t="s">
        <v>510</v>
      </c>
    </row>
    <row r="124" spans="1:6" s="54" customFormat="1" ht="14.45" customHeight="1">
      <c r="A124" s="158"/>
      <c r="B124" s="74" t="s">
        <v>511</v>
      </c>
      <c r="C124" s="75" t="s">
        <v>512</v>
      </c>
      <c r="D124" s="57">
        <v>4814000</v>
      </c>
      <c r="E124" s="57">
        <v>4376000</v>
      </c>
      <c r="F124" s="54" t="s">
        <v>513</v>
      </c>
    </row>
    <row r="125" spans="1:6" s="54" customFormat="1">
      <c r="A125" s="158"/>
      <c r="B125" s="74" t="s">
        <v>514</v>
      </c>
      <c r="C125" s="75" t="s">
        <v>515</v>
      </c>
      <c r="D125" s="57">
        <v>1458000</v>
      </c>
      <c r="E125" s="57">
        <v>1325000</v>
      </c>
      <c r="F125" s="54" t="s">
        <v>516</v>
      </c>
    </row>
    <row r="126" spans="1:6" s="54" customFormat="1">
      <c r="A126" s="158"/>
      <c r="B126" s="74" t="s">
        <v>517</v>
      </c>
      <c r="C126" s="75" t="s">
        <v>518</v>
      </c>
      <c r="D126" s="57">
        <v>6877000</v>
      </c>
      <c r="E126" s="57">
        <v>6252000</v>
      </c>
      <c r="F126" s="54" t="s">
        <v>519</v>
      </c>
    </row>
    <row r="127" spans="1:6" s="54" customFormat="1">
      <c r="A127" s="158"/>
      <c r="B127" s="74" t="s">
        <v>520</v>
      </c>
      <c r="C127" s="75" t="s">
        <v>521</v>
      </c>
      <c r="D127" s="57">
        <v>12049000</v>
      </c>
      <c r="E127" s="57">
        <v>10953000</v>
      </c>
      <c r="F127" s="54" t="s">
        <v>519</v>
      </c>
    </row>
    <row r="128" spans="1:6" s="54" customFormat="1">
      <c r="A128" s="158"/>
      <c r="B128" s="74" t="s">
        <v>522</v>
      </c>
      <c r="C128" s="75" t="s">
        <v>523</v>
      </c>
      <c r="D128" s="57">
        <v>1155000</v>
      </c>
      <c r="E128" s="57">
        <v>1050000</v>
      </c>
      <c r="F128" s="54" t="s">
        <v>524</v>
      </c>
    </row>
    <row r="129" spans="1:6" s="54" customFormat="1">
      <c r="A129" s="158"/>
      <c r="B129" s="74" t="s">
        <v>525</v>
      </c>
      <c r="C129" s="75" t="s">
        <v>526</v>
      </c>
      <c r="D129" s="57">
        <v>9656000</v>
      </c>
      <c r="E129" s="57">
        <v>8778000</v>
      </c>
      <c r="F129" s="54" t="s">
        <v>527</v>
      </c>
    </row>
    <row r="130" spans="1:6" s="54" customFormat="1">
      <c r="A130" s="158"/>
      <c r="B130" s="74" t="s">
        <v>528</v>
      </c>
      <c r="C130" s="75" t="s">
        <v>529</v>
      </c>
      <c r="D130" s="57">
        <v>6987000</v>
      </c>
      <c r="E130" s="57">
        <v>6352000</v>
      </c>
      <c r="F130" s="54" t="s">
        <v>530</v>
      </c>
    </row>
    <row r="131" spans="1:6" s="54" customFormat="1">
      <c r="A131" s="158"/>
      <c r="B131" s="74" t="s">
        <v>531</v>
      </c>
      <c r="C131" s="75" t="s">
        <v>532</v>
      </c>
      <c r="D131" s="57">
        <v>660000</v>
      </c>
      <c r="E131" s="57">
        <v>600000</v>
      </c>
      <c r="F131" s="54" t="s">
        <v>533</v>
      </c>
    </row>
    <row r="132" spans="1:6" s="54" customFormat="1">
      <c r="A132" s="158"/>
      <c r="B132" s="74" t="s">
        <v>534</v>
      </c>
      <c r="C132" s="75" t="s">
        <v>535</v>
      </c>
      <c r="D132" s="57">
        <v>743000</v>
      </c>
      <c r="E132" s="57">
        <v>675000</v>
      </c>
      <c r="F132" s="54" t="s">
        <v>536</v>
      </c>
    </row>
    <row r="133" spans="1:6" s="54" customFormat="1">
      <c r="A133" s="158"/>
      <c r="B133" s="74" t="s">
        <v>537</v>
      </c>
      <c r="C133" s="75" t="s">
        <v>538</v>
      </c>
      <c r="D133" s="57">
        <v>2311000</v>
      </c>
      <c r="E133" s="57">
        <v>2101000</v>
      </c>
      <c r="F133" s="54" t="s">
        <v>539</v>
      </c>
    </row>
    <row r="134" spans="1:6" s="54" customFormat="1">
      <c r="A134" s="158"/>
      <c r="B134" s="74" t="s">
        <v>540</v>
      </c>
      <c r="C134" s="75" t="s">
        <v>541</v>
      </c>
      <c r="D134" s="57">
        <v>660000</v>
      </c>
      <c r="E134" s="57">
        <v>600000</v>
      </c>
      <c r="F134" s="54" t="s">
        <v>542</v>
      </c>
    </row>
    <row r="135" spans="1:6" s="54" customFormat="1">
      <c r="A135" s="156" t="s">
        <v>305</v>
      </c>
      <c r="B135" t="s">
        <v>543</v>
      </c>
      <c r="C135" s="64" t="s">
        <v>544</v>
      </c>
      <c r="D135" s="57">
        <v>8115000</v>
      </c>
      <c r="E135" s="57">
        <v>7377000</v>
      </c>
      <c r="F135" s="54" t="s">
        <v>301</v>
      </c>
    </row>
    <row r="136" spans="1:6" s="54" customFormat="1">
      <c r="A136" s="156"/>
      <c r="B136" t="s">
        <v>545</v>
      </c>
      <c r="C136" s="64" t="s">
        <v>546</v>
      </c>
      <c r="D136" s="57">
        <v>7702000</v>
      </c>
      <c r="E136" s="57">
        <v>7002000</v>
      </c>
      <c r="F136" s="54" t="s">
        <v>301</v>
      </c>
    </row>
    <row r="137" spans="1:6" s="54" customFormat="1">
      <c r="A137" s="156"/>
      <c r="B137" t="s">
        <v>547</v>
      </c>
      <c r="C137" s="64" t="s">
        <v>548</v>
      </c>
      <c r="D137" s="57">
        <v>10866000</v>
      </c>
      <c r="E137" s="57">
        <v>9878000</v>
      </c>
      <c r="F137" s="54" t="s">
        <v>301</v>
      </c>
    </row>
    <row r="138" spans="1:6" s="54" customFormat="1">
      <c r="A138" s="156"/>
      <c r="B138" t="s">
        <v>549</v>
      </c>
      <c r="C138" s="64" t="s">
        <v>550</v>
      </c>
      <c r="D138" s="57">
        <v>6767000</v>
      </c>
      <c r="E138" s="57">
        <v>6152000</v>
      </c>
      <c r="F138" s="54" t="s">
        <v>301</v>
      </c>
    </row>
    <row r="139" spans="1:6" s="54" customFormat="1">
      <c r="A139" s="156"/>
      <c r="B139" t="s">
        <v>551</v>
      </c>
      <c r="C139" s="64" t="s">
        <v>552</v>
      </c>
      <c r="D139" s="57">
        <v>5639000</v>
      </c>
      <c r="E139" s="57">
        <v>5127000</v>
      </c>
      <c r="F139" s="54" t="s">
        <v>301</v>
      </c>
    </row>
    <row r="140" spans="1:6" s="54" customFormat="1">
      <c r="A140" s="156"/>
      <c r="B140" t="s">
        <v>553</v>
      </c>
      <c r="C140" s="64" t="s">
        <v>554</v>
      </c>
      <c r="D140" s="57">
        <v>5309000</v>
      </c>
      <c r="E140" s="57">
        <v>4827000</v>
      </c>
      <c r="F140" s="54" t="s">
        <v>301</v>
      </c>
    </row>
    <row r="141" spans="1:6" s="54" customFormat="1">
      <c r="A141" s="156"/>
      <c r="B141" t="s">
        <v>555</v>
      </c>
      <c r="C141" s="64" t="s">
        <v>556</v>
      </c>
      <c r="D141" s="57">
        <v>11196000</v>
      </c>
      <c r="E141" s="57">
        <v>10178000</v>
      </c>
      <c r="F141" s="54" t="s">
        <v>301</v>
      </c>
    </row>
    <row r="142" spans="1:6" s="54" customFormat="1">
      <c r="A142" s="156"/>
      <c r="B142" s="54" t="s">
        <v>557</v>
      </c>
      <c r="C142" s="54" t="s">
        <v>558</v>
      </c>
      <c r="D142" s="62">
        <v>10838000</v>
      </c>
      <c r="E142" s="62">
        <v>9853000</v>
      </c>
      <c r="F142" s="54" t="s">
        <v>301</v>
      </c>
    </row>
    <row r="143" spans="1:6" s="54" customFormat="1">
      <c r="A143" s="156"/>
      <c r="B143" s="54" t="s">
        <v>559</v>
      </c>
      <c r="C143" s="54" t="s">
        <v>560</v>
      </c>
      <c r="D143" s="62">
        <v>12434000</v>
      </c>
      <c r="E143" s="62">
        <v>11304000</v>
      </c>
      <c r="F143" s="54" t="s">
        <v>301</v>
      </c>
    </row>
    <row r="144" spans="1:6" s="54" customFormat="1">
      <c r="A144" s="156"/>
      <c r="B144" s="54" t="s">
        <v>561</v>
      </c>
      <c r="C144" s="54" t="s">
        <v>562</v>
      </c>
      <c r="D144" s="62">
        <v>11994000</v>
      </c>
      <c r="E144" s="62">
        <v>10903000</v>
      </c>
      <c r="F144" s="54" t="s">
        <v>301</v>
      </c>
    </row>
    <row r="145" spans="1:6" s="54" customFormat="1">
      <c r="A145" s="156"/>
      <c r="B145" s="54" t="s">
        <v>563</v>
      </c>
      <c r="C145" s="54" t="s">
        <v>564</v>
      </c>
      <c r="D145" s="62">
        <v>54412000</v>
      </c>
      <c r="E145" s="62">
        <v>49466000</v>
      </c>
      <c r="F145" s="54" t="s">
        <v>301</v>
      </c>
    </row>
    <row r="146" spans="1:6" s="54" customFormat="1">
      <c r="A146" s="159" t="s">
        <v>332</v>
      </c>
      <c r="B146" s="76" t="s">
        <v>565</v>
      </c>
      <c r="C146" s="76" t="s">
        <v>566</v>
      </c>
      <c r="D146" s="62">
        <v>7757000</v>
      </c>
      <c r="E146" s="62">
        <v>7052000</v>
      </c>
      <c r="F146" s="54" t="s">
        <v>301</v>
      </c>
    </row>
    <row r="147" spans="1:6" s="54" customFormat="1">
      <c r="A147" s="159"/>
      <c r="B147" s="76" t="s">
        <v>567</v>
      </c>
      <c r="C147" s="76" t="s">
        <v>568</v>
      </c>
      <c r="D147" s="62">
        <v>20631000</v>
      </c>
      <c r="E147" s="62">
        <v>18756000</v>
      </c>
      <c r="F147" s="54" t="s">
        <v>301</v>
      </c>
    </row>
    <row r="148" spans="1:6" s="54" customFormat="1" ht="18" customHeight="1">
      <c r="A148" s="55" t="s">
        <v>569</v>
      </c>
      <c r="B148" s="55"/>
      <c r="C148" s="55"/>
      <c r="D148" s="55"/>
      <c r="E148" s="55"/>
      <c r="F148" s="56"/>
    </row>
    <row r="149" spans="1:6" s="54" customFormat="1">
      <c r="B149" s="54" t="s">
        <v>570</v>
      </c>
      <c r="C149" s="54" t="s">
        <v>392</v>
      </c>
      <c r="D149" s="62">
        <v>21869000</v>
      </c>
      <c r="E149" s="62">
        <v>19881000</v>
      </c>
      <c r="F149" s="62"/>
    </row>
    <row r="150" spans="1:6" s="54" customFormat="1">
      <c r="A150" s="76"/>
      <c r="B150" s="76" t="s">
        <v>571</v>
      </c>
      <c r="C150" s="76" t="s">
        <v>572</v>
      </c>
      <c r="D150" s="62">
        <v>38870000</v>
      </c>
      <c r="E150" s="62">
        <v>35336000</v>
      </c>
      <c r="F150" s="62"/>
    </row>
    <row r="151" spans="1:6" s="54" customFormat="1">
      <c r="B151" s="54" t="s">
        <v>573</v>
      </c>
      <c r="C151" s="54" t="s">
        <v>397</v>
      </c>
      <c r="D151" s="62">
        <v>42143000</v>
      </c>
      <c r="E151" s="62">
        <v>38312000</v>
      </c>
      <c r="F151" s="62"/>
    </row>
    <row r="152" spans="1:6" s="54" customFormat="1">
      <c r="A152" s="76"/>
      <c r="B152" s="76" t="s">
        <v>574</v>
      </c>
      <c r="C152" s="76" t="s">
        <v>572</v>
      </c>
      <c r="D152" s="62">
        <v>71440000</v>
      </c>
      <c r="E152" s="62">
        <v>64945000</v>
      </c>
      <c r="F152" s="62"/>
    </row>
    <row r="153" spans="1:6" s="54" customFormat="1">
      <c r="B153" s="54" t="s">
        <v>575</v>
      </c>
      <c r="C153" s="54" t="s">
        <v>400</v>
      </c>
      <c r="D153" s="62">
        <v>100737000</v>
      </c>
      <c r="E153" s="62">
        <v>91579000</v>
      </c>
      <c r="F153" s="62"/>
    </row>
    <row r="154" spans="1:6" s="54" customFormat="1">
      <c r="A154" s="76"/>
      <c r="B154" s="76" t="s">
        <v>575</v>
      </c>
      <c r="C154" s="76" t="s">
        <v>572</v>
      </c>
      <c r="D154" s="62">
        <v>25363000</v>
      </c>
      <c r="E154" s="62">
        <v>23057000</v>
      </c>
      <c r="F154" s="62"/>
    </row>
    <row r="155" spans="1:6" s="54" customFormat="1">
      <c r="B155" s="54" t="s">
        <v>576</v>
      </c>
      <c r="C155" s="54" t="s">
        <v>403</v>
      </c>
      <c r="D155" s="62">
        <v>49130000</v>
      </c>
      <c r="E155" s="62">
        <v>44664000</v>
      </c>
      <c r="F155" s="62"/>
    </row>
    <row r="156" spans="1:6" s="54" customFormat="1">
      <c r="A156" s="76"/>
      <c r="B156" s="76" t="s">
        <v>577</v>
      </c>
      <c r="C156" s="76" t="s">
        <v>572</v>
      </c>
      <c r="D156" s="62">
        <v>72925000</v>
      </c>
      <c r="E156" s="62">
        <v>66296000</v>
      </c>
      <c r="F156" s="62"/>
    </row>
    <row r="157" spans="1:6" s="54" customFormat="1">
      <c r="B157" s="54" t="s">
        <v>578</v>
      </c>
      <c r="C157" s="54" t="s">
        <v>407</v>
      </c>
      <c r="D157" s="62">
        <v>59529000</v>
      </c>
      <c r="E157" s="62">
        <v>54117000</v>
      </c>
      <c r="F157" s="62"/>
    </row>
    <row r="158" spans="1:6" s="54" customFormat="1">
      <c r="A158" s="76"/>
      <c r="B158" s="76" t="s">
        <v>579</v>
      </c>
      <c r="C158" s="76" t="s">
        <v>572</v>
      </c>
      <c r="D158" s="62">
        <v>94547000</v>
      </c>
      <c r="E158" s="62">
        <v>85952000</v>
      </c>
      <c r="F158" s="62"/>
    </row>
    <row r="159" spans="1:6" s="54" customFormat="1">
      <c r="B159" s="54" t="s">
        <v>580</v>
      </c>
      <c r="C159" s="54" t="s">
        <v>410</v>
      </c>
      <c r="D159" s="62">
        <v>129566000</v>
      </c>
      <c r="E159" s="62">
        <v>117787000</v>
      </c>
      <c r="F159" s="62"/>
    </row>
    <row r="160" spans="1:6" s="54" customFormat="1">
      <c r="B160" s="54" t="s">
        <v>581</v>
      </c>
      <c r="C160" s="54" t="s">
        <v>572</v>
      </c>
      <c r="D160" s="62"/>
      <c r="E160" s="62"/>
      <c r="F160" s="62"/>
    </row>
    <row r="161" spans="1:6" s="54" customFormat="1" ht="18" customHeight="1">
      <c r="A161" s="55" t="s">
        <v>582</v>
      </c>
      <c r="B161" s="55"/>
      <c r="C161" s="55"/>
      <c r="D161" s="55"/>
      <c r="E161" s="55"/>
      <c r="F161" s="56"/>
    </row>
    <row r="162" spans="1:6" s="54" customFormat="1">
      <c r="A162" s="155" t="s">
        <v>583</v>
      </c>
      <c r="B162" s="54" t="s">
        <v>584</v>
      </c>
      <c r="C162" s="54" t="s">
        <v>585</v>
      </c>
      <c r="D162" s="62">
        <v>15338000</v>
      </c>
      <c r="E162" s="62">
        <v>13944000</v>
      </c>
      <c r="F162" s="62"/>
    </row>
    <row r="163" spans="1:6" s="54" customFormat="1">
      <c r="A163" s="155"/>
      <c r="B163" s="54" t="s">
        <v>586</v>
      </c>
      <c r="C163" s="54" t="s">
        <v>587</v>
      </c>
      <c r="D163" s="62">
        <v>88705000</v>
      </c>
      <c r="E163" s="62">
        <v>80641000</v>
      </c>
      <c r="F163" s="62"/>
    </row>
    <row r="164" spans="1:6" s="54" customFormat="1">
      <c r="A164" s="155"/>
      <c r="B164" s="54" t="s">
        <v>588</v>
      </c>
      <c r="C164" s="54" t="s">
        <v>589</v>
      </c>
      <c r="D164" s="62">
        <v>5227000</v>
      </c>
      <c r="E164" s="62">
        <v>4751000</v>
      </c>
      <c r="F164" s="62"/>
    </row>
    <row r="165" spans="1:6" s="54" customFormat="1">
      <c r="A165" s="155"/>
      <c r="B165" s="54" t="s">
        <v>590</v>
      </c>
      <c r="C165" s="54" t="s">
        <v>591</v>
      </c>
      <c r="D165" s="62">
        <v>54990000</v>
      </c>
      <c r="E165" s="62">
        <v>49991000</v>
      </c>
      <c r="F165" s="62"/>
    </row>
    <row r="166" spans="1:6" s="54" customFormat="1">
      <c r="A166" s="155" t="s">
        <v>592</v>
      </c>
      <c r="B166" s="54" t="s">
        <v>593</v>
      </c>
      <c r="C166" s="54" t="s">
        <v>594</v>
      </c>
      <c r="D166" s="62">
        <v>13319000</v>
      </c>
      <c r="E166" s="62">
        <v>12108000</v>
      </c>
      <c r="F166" s="62"/>
    </row>
    <row r="167" spans="1:6" s="54" customFormat="1">
      <c r="A167" s="155"/>
      <c r="B167" s="54" t="s">
        <v>595</v>
      </c>
      <c r="C167" s="54" t="s">
        <v>596</v>
      </c>
      <c r="D167" s="62">
        <v>3165000</v>
      </c>
      <c r="E167" s="62">
        <v>2877000</v>
      </c>
      <c r="F167" s="62"/>
    </row>
    <row r="168" spans="1:6" s="54" customFormat="1">
      <c r="A168" s="155"/>
      <c r="B168" s="54" t="s">
        <v>597</v>
      </c>
      <c r="C168" s="54" t="s">
        <v>598</v>
      </c>
      <c r="D168" s="62">
        <v>78513000</v>
      </c>
      <c r="E168" s="62">
        <v>71375000</v>
      </c>
      <c r="F168" s="62"/>
    </row>
    <row r="169" spans="1:6" s="54" customFormat="1">
      <c r="A169" s="155"/>
      <c r="B169" s="54" t="s">
        <v>599</v>
      </c>
      <c r="C169" s="54" t="s">
        <v>600</v>
      </c>
      <c r="D169" s="62">
        <v>81316000</v>
      </c>
      <c r="E169" s="62">
        <v>73924000</v>
      </c>
      <c r="F169" s="62"/>
    </row>
    <row r="170" spans="1:6" s="54" customFormat="1">
      <c r="A170" s="155" t="s">
        <v>350</v>
      </c>
      <c r="B170" s="54" t="s">
        <v>351</v>
      </c>
      <c r="C170" s="54" t="s">
        <v>352</v>
      </c>
      <c r="D170" s="62">
        <v>330000</v>
      </c>
      <c r="E170" s="62">
        <v>300000</v>
      </c>
      <c r="F170" s="62"/>
    </row>
    <row r="171" spans="1:6" s="54" customFormat="1">
      <c r="A171" s="155"/>
      <c r="B171" s="54" t="s">
        <v>354</v>
      </c>
      <c r="C171" s="54" t="s">
        <v>355</v>
      </c>
      <c r="D171" s="62">
        <v>358000</v>
      </c>
      <c r="E171" s="62">
        <v>325000</v>
      </c>
      <c r="F171" s="62"/>
    </row>
    <row r="172" spans="1:6" s="54" customFormat="1">
      <c r="A172" s="155"/>
      <c r="B172" s="54" t="s">
        <v>356</v>
      </c>
      <c r="C172" s="54" t="s">
        <v>357</v>
      </c>
      <c r="D172" s="62">
        <v>330000</v>
      </c>
      <c r="E172" s="62">
        <v>300000</v>
      </c>
      <c r="F172" s="62"/>
    </row>
    <row r="173" spans="1:6" s="54" customFormat="1">
      <c r="A173" s="155"/>
      <c r="B173" s="54" t="s">
        <v>358</v>
      </c>
      <c r="C173" s="54" t="s">
        <v>359</v>
      </c>
      <c r="D173" s="62">
        <v>275000</v>
      </c>
      <c r="E173" s="62">
        <v>250000</v>
      </c>
      <c r="F173" s="62"/>
    </row>
    <row r="174" spans="1:6" s="54" customFormat="1">
      <c r="A174" s="155"/>
      <c r="B174" s="54" t="s">
        <v>360</v>
      </c>
      <c r="C174" s="54" t="s">
        <v>361</v>
      </c>
      <c r="D174" s="62">
        <v>468000</v>
      </c>
      <c r="E174" s="62">
        <v>425000</v>
      </c>
      <c r="F174" s="62"/>
    </row>
    <row r="175" spans="1:6" s="54" customFormat="1">
      <c r="A175" s="155"/>
      <c r="B175" s="54" t="s">
        <v>362</v>
      </c>
      <c r="C175" s="54" t="s">
        <v>363</v>
      </c>
      <c r="D175" s="62">
        <v>1073000</v>
      </c>
      <c r="E175" s="62">
        <v>975000</v>
      </c>
      <c r="F175" s="62"/>
    </row>
    <row r="176" spans="1:6" s="54" customFormat="1">
      <c r="A176" s="155"/>
      <c r="B176" s="54" t="s">
        <v>364</v>
      </c>
      <c r="C176" s="54" t="s">
        <v>365</v>
      </c>
      <c r="D176" s="62">
        <v>1871000</v>
      </c>
      <c r="E176" s="62">
        <v>1701000</v>
      </c>
      <c r="F176" s="62"/>
    </row>
    <row r="177" spans="1:6" s="54" customFormat="1">
      <c r="A177" s="155"/>
      <c r="B177" s="54" t="s">
        <v>366</v>
      </c>
      <c r="C177" s="54" t="s">
        <v>367</v>
      </c>
      <c r="D177" s="62">
        <v>275000</v>
      </c>
      <c r="E177" s="62">
        <v>250000</v>
      </c>
      <c r="F177" s="62"/>
    </row>
    <row r="178" spans="1:6" s="54" customFormat="1">
      <c r="A178" s="155"/>
      <c r="B178" s="54" t="s">
        <v>369</v>
      </c>
      <c r="C178" s="54" t="s">
        <v>370</v>
      </c>
      <c r="D178" s="62">
        <v>275000</v>
      </c>
      <c r="E178" s="62">
        <v>250000</v>
      </c>
      <c r="F178" s="62"/>
    </row>
    <row r="179" spans="1:6" s="54" customFormat="1">
      <c r="A179" s="155"/>
      <c r="B179" s="54" t="s">
        <v>371</v>
      </c>
      <c r="C179" s="54" t="s">
        <v>372</v>
      </c>
      <c r="D179" s="62">
        <v>330000</v>
      </c>
      <c r="E179" s="62">
        <v>300000</v>
      </c>
      <c r="F179" s="62"/>
    </row>
    <row r="180" spans="1:6" s="54" customFormat="1">
      <c r="A180" s="155"/>
      <c r="B180" s="54" t="s">
        <v>373</v>
      </c>
      <c r="C180" s="54" t="s">
        <v>374</v>
      </c>
      <c r="D180" s="62">
        <v>605000</v>
      </c>
      <c r="E180" s="62">
        <v>550000</v>
      </c>
      <c r="F180" s="62"/>
    </row>
    <row r="181" spans="1:6" s="54" customFormat="1">
      <c r="A181" s="155"/>
      <c r="B181" s="54" t="s">
        <v>375</v>
      </c>
      <c r="C181" s="54" t="s">
        <v>376</v>
      </c>
      <c r="D181" s="62">
        <v>1018000</v>
      </c>
      <c r="E181" s="62">
        <v>925000</v>
      </c>
      <c r="F181" s="62"/>
    </row>
    <row r="182" spans="1:6" s="54" customFormat="1">
      <c r="A182" s="155"/>
      <c r="B182" s="54" t="s">
        <v>377</v>
      </c>
      <c r="C182" s="54" t="s">
        <v>378</v>
      </c>
      <c r="D182" s="62">
        <v>2146000</v>
      </c>
      <c r="E182" s="62">
        <v>1951000</v>
      </c>
      <c r="F182" s="62"/>
    </row>
  </sheetData>
  <mergeCells count="26">
    <mergeCell ref="A52:A53"/>
    <mergeCell ref="A7:A8"/>
    <mergeCell ref="A9:A10"/>
    <mergeCell ref="A11:A23"/>
    <mergeCell ref="A24:A29"/>
    <mergeCell ref="A32:A50"/>
    <mergeCell ref="A106:A110"/>
    <mergeCell ref="A54:A55"/>
    <mergeCell ref="A56:A57"/>
    <mergeCell ref="A58:A59"/>
    <mergeCell ref="A60:A61"/>
    <mergeCell ref="A62:A63"/>
    <mergeCell ref="A65:A79"/>
    <mergeCell ref="A80:A86"/>
    <mergeCell ref="A87:A89"/>
    <mergeCell ref="A91:A95"/>
    <mergeCell ref="A96:A100"/>
    <mergeCell ref="A101:A105"/>
    <mergeCell ref="A166:A169"/>
    <mergeCell ref="A170:A182"/>
    <mergeCell ref="A111:A115"/>
    <mergeCell ref="A116:A120"/>
    <mergeCell ref="A122:A134"/>
    <mergeCell ref="A135:A145"/>
    <mergeCell ref="A146:A147"/>
    <mergeCell ref="A162:A16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H170"/>
  <sheetViews>
    <sheetView topLeftCell="A119" workbookViewId="0">
      <selection activeCell="G14" sqref="G14"/>
    </sheetView>
  </sheetViews>
  <sheetFormatPr defaultColWidth="8.85546875" defaultRowHeight="15"/>
  <cols>
    <col min="1" max="1" width="10" bestFit="1" customWidth="1"/>
    <col min="2" max="2" width="18.42578125" bestFit="1" customWidth="1"/>
    <col min="3" max="3" width="55.140625" bestFit="1" customWidth="1"/>
    <col min="4" max="4" width="14.42578125" bestFit="1" customWidth="1"/>
    <col min="5" max="5" width="14.42578125" customWidth="1"/>
  </cols>
  <sheetData>
    <row r="1" spans="1:8" ht="81.75">
      <c r="A1" s="14" t="s">
        <v>0</v>
      </c>
      <c r="B1" s="16" t="s">
        <v>601</v>
      </c>
      <c r="C1" s="2" t="s">
        <v>3</v>
      </c>
      <c r="D1" s="16" t="s">
        <v>602</v>
      </c>
      <c r="E1" s="16" t="s">
        <v>249</v>
      </c>
      <c r="F1" s="25" t="s">
        <v>4</v>
      </c>
      <c r="G1" s="4" t="s">
        <v>250</v>
      </c>
      <c r="H1" s="5" t="s">
        <v>251</v>
      </c>
    </row>
    <row r="2" spans="1:8">
      <c r="A2" s="112" t="s">
        <v>278</v>
      </c>
      <c r="B2" s="114"/>
      <c r="C2" s="108"/>
      <c r="D2" s="110"/>
      <c r="E2" s="110"/>
      <c r="F2" s="114"/>
      <c r="G2" s="108"/>
      <c r="H2" s="108"/>
    </row>
    <row r="3" spans="1:8">
      <c r="A3" s="113">
        <v>1</v>
      </c>
      <c r="B3" s="165" t="s">
        <v>603</v>
      </c>
      <c r="C3" s="116" t="s">
        <v>604</v>
      </c>
      <c r="D3" s="22">
        <v>10</v>
      </c>
      <c r="E3" s="22"/>
      <c r="F3" s="107" t="s">
        <v>4</v>
      </c>
      <c r="G3" s="24"/>
      <c r="H3" s="24"/>
    </row>
    <row r="4" spans="1:8">
      <c r="A4" s="113">
        <v>2</v>
      </c>
      <c r="B4" s="165"/>
      <c r="C4" s="116" t="s">
        <v>605</v>
      </c>
      <c r="D4" s="22">
        <v>2</v>
      </c>
      <c r="E4" s="22"/>
      <c r="F4" s="107" t="s">
        <v>4</v>
      </c>
      <c r="G4" s="24"/>
      <c r="H4" s="24"/>
    </row>
    <row r="5" spans="1:8">
      <c r="A5" s="113">
        <v>3</v>
      </c>
      <c r="B5" s="165" t="s">
        <v>606</v>
      </c>
      <c r="C5" s="116" t="s">
        <v>607</v>
      </c>
      <c r="D5" s="22">
        <v>2</v>
      </c>
      <c r="E5" s="22"/>
      <c r="F5" s="107" t="s">
        <v>4</v>
      </c>
      <c r="G5" s="24"/>
      <c r="H5" s="24"/>
    </row>
    <row r="6" spans="1:8">
      <c r="A6" s="113">
        <v>4</v>
      </c>
      <c r="B6" s="165"/>
      <c r="C6" s="116" t="s">
        <v>608</v>
      </c>
      <c r="D6" s="22">
        <v>1</v>
      </c>
      <c r="E6" s="22"/>
      <c r="F6" s="107" t="s">
        <v>4</v>
      </c>
      <c r="G6" s="24"/>
      <c r="H6" s="24"/>
    </row>
    <row r="7" spans="1:8">
      <c r="A7" s="113">
        <v>5</v>
      </c>
      <c r="B7" s="165" t="s">
        <v>609</v>
      </c>
      <c r="C7" s="116" t="s">
        <v>610</v>
      </c>
      <c r="D7" s="107">
        <v>5</v>
      </c>
      <c r="E7" s="107"/>
      <c r="F7" s="107" t="s">
        <v>4</v>
      </c>
      <c r="G7" s="24"/>
      <c r="H7" s="24"/>
    </row>
    <row r="8" spans="1:8">
      <c r="A8" s="113">
        <v>6</v>
      </c>
      <c r="B8" s="165"/>
      <c r="C8" s="116" t="s">
        <v>611</v>
      </c>
      <c r="D8" s="22">
        <v>3</v>
      </c>
      <c r="E8" s="22"/>
      <c r="F8" s="107" t="s">
        <v>4</v>
      </c>
      <c r="G8" s="24"/>
      <c r="H8" s="24"/>
    </row>
    <row r="9" spans="1:8">
      <c r="A9" s="113">
        <v>7</v>
      </c>
      <c r="B9" s="165"/>
      <c r="C9" s="116" t="s">
        <v>612</v>
      </c>
      <c r="D9" s="22">
        <v>1</v>
      </c>
      <c r="E9" s="22"/>
      <c r="F9" s="107" t="s">
        <v>4</v>
      </c>
      <c r="G9" s="24"/>
      <c r="H9" s="24"/>
    </row>
    <row r="10" spans="1:8">
      <c r="A10" s="113">
        <v>8</v>
      </c>
      <c r="B10" s="117" t="s">
        <v>613</v>
      </c>
      <c r="C10" s="116" t="s">
        <v>614</v>
      </c>
      <c r="D10" s="107">
        <v>10</v>
      </c>
      <c r="E10" s="107"/>
      <c r="F10" s="107" t="s">
        <v>4</v>
      </c>
      <c r="G10" s="24"/>
      <c r="H10" s="24"/>
    </row>
    <row r="11" spans="1:8">
      <c r="A11" s="113">
        <v>9</v>
      </c>
      <c r="B11" s="165" t="s">
        <v>615</v>
      </c>
      <c r="C11" s="116" t="s">
        <v>616</v>
      </c>
      <c r="D11" s="107">
        <v>8</v>
      </c>
      <c r="E11" s="107"/>
      <c r="F11" s="107" t="s">
        <v>4</v>
      </c>
      <c r="G11" s="24"/>
      <c r="H11" s="24"/>
    </row>
    <row r="12" spans="1:8">
      <c r="A12" s="113">
        <v>10</v>
      </c>
      <c r="B12" s="165"/>
      <c r="C12" s="119" t="s">
        <v>617</v>
      </c>
      <c r="D12" s="107">
        <v>5</v>
      </c>
      <c r="E12" s="107"/>
      <c r="F12" s="107" t="s">
        <v>4</v>
      </c>
      <c r="G12" s="24"/>
      <c r="H12" s="24"/>
    </row>
    <row r="13" spans="1:8">
      <c r="A13" s="113">
        <v>11</v>
      </c>
      <c r="B13" s="165"/>
      <c r="C13" s="119" t="s">
        <v>618</v>
      </c>
      <c r="D13" s="107">
        <v>2</v>
      </c>
      <c r="E13" s="107"/>
      <c r="F13" s="107" t="s">
        <v>4</v>
      </c>
      <c r="G13" s="24"/>
      <c r="H13" s="24"/>
    </row>
    <row r="14" spans="1:8">
      <c r="A14" s="113">
        <v>12</v>
      </c>
      <c r="B14" s="165"/>
      <c r="C14" s="119" t="s">
        <v>619</v>
      </c>
      <c r="D14" s="107">
        <v>1</v>
      </c>
      <c r="E14" s="107"/>
      <c r="F14" s="107" t="s">
        <v>4</v>
      </c>
      <c r="G14" s="24"/>
      <c r="H14" s="24"/>
    </row>
    <row r="15" spans="1:8">
      <c r="A15" s="113">
        <v>13</v>
      </c>
      <c r="B15" s="165"/>
      <c r="C15" s="119" t="s">
        <v>620</v>
      </c>
      <c r="D15" s="107">
        <v>7</v>
      </c>
      <c r="E15" s="107" t="s">
        <v>621</v>
      </c>
      <c r="F15" s="107" t="s">
        <v>4</v>
      </c>
      <c r="G15" s="24"/>
      <c r="H15" s="24"/>
    </row>
    <row r="16" spans="1:8">
      <c r="A16" s="113">
        <v>14</v>
      </c>
      <c r="B16" s="165"/>
      <c r="C16" s="118" t="s">
        <v>622</v>
      </c>
      <c r="D16" s="107">
        <v>1</v>
      </c>
      <c r="E16" s="107" t="s">
        <v>623</v>
      </c>
      <c r="F16" s="107" t="s">
        <v>4</v>
      </c>
      <c r="G16" s="24"/>
      <c r="H16" s="24"/>
    </row>
    <row r="17" spans="1:86">
      <c r="A17" s="113">
        <v>15</v>
      </c>
      <c r="B17" s="165"/>
      <c r="C17" s="119" t="s">
        <v>624</v>
      </c>
      <c r="D17" s="107">
        <v>2</v>
      </c>
      <c r="E17" s="107"/>
      <c r="F17" s="107" t="s">
        <v>4</v>
      </c>
      <c r="G17" s="24"/>
      <c r="H17" s="24"/>
    </row>
    <row r="18" spans="1:86">
      <c r="A18" s="113">
        <v>16</v>
      </c>
      <c r="B18" s="165"/>
      <c r="C18" s="116" t="s">
        <v>625</v>
      </c>
      <c r="D18" s="107">
        <v>10</v>
      </c>
      <c r="E18" s="107"/>
      <c r="F18" s="107" t="s">
        <v>4</v>
      </c>
      <c r="G18" s="24"/>
      <c r="H18" s="24"/>
    </row>
    <row r="19" spans="1:86">
      <c r="A19" s="113">
        <v>17</v>
      </c>
      <c r="B19" s="165"/>
      <c r="C19" s="116" t="s">
        <v>626</v>
      </c>
      <c r="D19" s="107">
        <v>2</v>
      </c>
      <c r="E19" s="107"/>
      <c r="F19" s="107" t="s">
        <v>4</v>
      </c>
      <c r="G19" s="24"/>
      <c r="H19" s="24"/>
    </row>
    <row r="20" spans="1:86">
      <c r="A20" s="113">
        <v>18</v>
      </c>
      <c r="B20" s="165"/>
      <c r="C20" s="116" t="s">
        <v>627</v>
      </c>
      <c r="D20" s="107">
        <v>4</v>
      </c>
      <c r="E20" s="107"/>
      <c r="F20" s="107" t="s">
        <v>4</v>
      </c>
      <c r="G20" s="24"/>
      <c r="H20" s="24"/>
    </row>
    <row r="21" spans="1:86">
      <c r="A21" s="113">
        <v>19</v>
      </c>
      <c r="B21" s="165"/>
      <c r="C21" s="116" t="s">
        <v>628</v>
      </c>
      <c r="D21" s="107">
        <v>4</v>
      </c>
      <c r="E21" s="107"/>
      <c r="F21" s="107" t="s">
        <v>4</v>
      </c>
      <c r="G21" s="24"/>
      <c r="H21" s="24"/>
    </row>
    <row r="22" spans="1:86">
      <c r="A22" s="113">
        <v>20</v>
      </c>
      <c r="B22" s="165"/>
      <c r="C22" s="116" t="s">
        <v>629</v>
      </c>
      <c r="D22" s="107">
        <v>4</v>
      </c>
      <c r="E22" s="107"/>
      <c r="F22" s="107" t="s">
        <v>4</v>
      </c>
      <c r="G22" s="24"/>
      <c r="H22" s="24"/>
    </row>
    <row r="23" spans="1:86">
      <c r="A23" s="113">
        <v>21</v>
      </c>
      <c r="B23" s="165"/>
      <c r="C23" s="116" t="s">
        <v>630</v>
      </c>
      <c r="D23" s="107">
        <v>2</v>
      </c>
      <c r="E23" s="107"/>
      <c r="F23" s="107" t="s">
        <v>4</v>
      </c>
      <c r="G23" s="24"/>
      <c r="H23" s="24"/>
    </row>
    <row r="24" spans="1:86">
      <c r="A24" s="113">
        <v>22</v>
      </c>
      <c r="B24" s="165"/>
      <c r="C24" s="116" t="s">
        <v>631</v>
      </c>
      <c r="D24" s="107">
        <v>34</v>
      </c>
      <c r="E24" s="107"/>
      <c r="F24" s="107" t="s">
        <v>4</v>
      </c>
      <c r="G24" s="24"/>
      <c r="H24" s="24"/>
    </row>
    <row r="25" spans="1:86">
      <c r="A25" s="113">
        <v>23</v>
      </c>
      <c r="B25" s="165"/>
      <c r="C25" s="116" t="s">
        <v>632</v>
      </c>
      <c r="D25" s="107">
        <v>2</v>
      </c>
      <c r="E25" s="107"/>
      <c r="F25" s="107" t="s">
        <v>4</v>
      </c>
      <c r="G25" s="24"/>
      <c r="H25" s="24"/>
    </row>
    <row r="26" spans="1:86" s="109" customFormat="1">
      <c r="A26" s="109" t="s">
        <v>633</v>
      </c>
      <c r="B26" s="115"/>
      <c r="D26" s="111"/>
      <c r="E26" s="111"/>
      <c r="F26" s="115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</row>
    <row r="27" spans="1:86">
      <c r="A27" s="113">
        <v>1</v>
      </c>
      <c r="B27" s="107" t="s">
        <v>634</v>
      </c>
      <c r="C27" s="24" t="s">
        <v>635</v>
      </c>
      <c r="D27" s="107">
        <v>4</v>
      </c>
      <c r="E27" s="107"/>
      <c r="F27" s="107" t="s">
        <v>4</v>
      </c>
      <c r="G27" s="24"/>
      <c r="H27" s="24"/>
    </row>
    <row r="28" spans="1:86">
      <c r="A28" s="113">
        <v>2</v>
      </c>
      <c r="B28" s="107" t="s">
        <v>636</v>
      </c>
      <c r="C28" s="24" t="s">
        <v>637</v>
      </c>
      <c r="D28" s="107">
        <v>1</v>
      </c>
      <c r="E28" s="107"/>
      <c r="F28" s="107" t="s">
        <v>4</v>
      </c>
      <c r="G28" s="24"/>
      <c r="H28" s="24"/>
    </row>
    <row r="29" spans="1:86">
      <c r="A29" s="113">
        <v>3</v>
      </c>
      <c r="B29" s="107" t="s">
        <v>636</v>
      </c>
      <c r="C29" s="24" t="s">
        <v>638</v>
      </c>
      <c r="D29" s="107">
        <v>1</v>
      </c>
      <c r="E29" s="107"/>
      <c r="F29" s="107" t="s">
        <v>4</v>
      </c>
      <c r="G29" s="24"/>
      <c r="H29" s="24"/>
    </row>
    <row r="30" spans="1:86">
      <c r="A30" s="113">
        <v>4</v>
      </c>
      <c r="B30" s="107" t="s">
        <v>639</v>
      </c>
      <c r="C30" s="24" t="s">
        <v>640</v>
      </c>
      <c r="D30" s="107">
        <v>11</v>
      </c>
      <c r="E30" s="107"/>
      <c r="F30" s="107" t="s">
        <v>4</v>
      </c>
      <c r="G30" s="24"/>
      <c r="H30" s="24"/>
    </row>
    <row r="31" spans="1:86">
      <c r="A31" s="113">
        <v>5</v>
      </c>
      <c r="B31" s="107" t="s">
        <v>641</v>
      </c>
      <c r="C31" s="24" t="s">
        <v>642</v>
      </c>
      <c r="D31" s="107">
        <v>20</v>
      </c>
      <c r="E31" s="107"/>
      <c r="F31" s="107" t="s">
        <v>4</v>
      </c>
      <c r="G31" s="24"/>
      <c r="H31" s="24"/>
    </row>
    <row r="32" spans="1:86">
      <c r="A32" s="113">
        <v>6</v>
      </c>
      <c r="B32" s="107" t="s">
        <v>636</v>
      </c>
      <c r="C32" s="24" t="s">
        <v>642</v>
      </c>
      <c r="D32" s="107">
        <v>14</v>
      </c>
      <c r="E32" s="107"/>
      <c r="F32" s="107" t="s">
        <v>4</v>
      </c>
      <c r="G32" s="24"/>
      <c r="H32" s="24"/>
    </row>
    <row r="33" spans="1:8">
      <c r="A33" s="113">
        <v>7</v>
      </c>
      <c r="B33" s="107" t="s">
        <v>634</v>
      </c>
      <c r="C33" s="24" t="s">
        <v>643</v>
      </c>
      <c r="D33" s="107">
        <v>20</v>
      </c>
      <c r="E33" s="107"/>
      <c r="F33" s="107" t="s">
        <v>4</v>
      </c>
      <c r="G33" s="24"/>
      <c r="H33" s="24"/>
    </row>
    <row r="34" spans="1:8">
      <c r="A34" s="113">
        <v>8</v>
      </c>
      <c r="B34" s="107" t="s">
        <v>636</v>
      </c>
      <c r="C34" s="24" t="s">
        <v>644</v>
      </c>
      <c r="D34" s="107">
        <v>49</v>
      </c>
      <c r="E34" s="107"/>
      <c r="F34" s="107" t="s">
        <v>4</v>
      </c>
      <c r="G34" s="24"/>
      <c r="H34" s="24"/>
    </row>
    <row r="35" spans="1:8">
      <c r="A35" s="113">
        <v>9</v>
      </c>
      <c r="B35" s="107" t="s">
        <v>634</v>
      </c>
      <c r="C35" s="24" t="s">
        <v>645</v>
      </c>
      <c r="D35" s="107">
        <v>4</v>
      </c>
      <c r="E35" s="107"/>
      <c r="F35" s="107" t="s">
        <v>4</v>
      </c>
      <c r="G35" s="24"/>
      <c r="H35" s="24"/>
    </row>
    <row r="36" spans="1:8">
      <c r="A36" s="113">
        <v>10</v>
      </c>
      <c r="B36" s="107" t="s">
        <v>639</v>
      </c>
      <c r="C36" s="24" t="s">
        <v>646</v>
      </c>
      <c r="D36" s="107">
        <v>1</v>
      </c>
      <c r="E36" s="107"/>
      <c r="F36" s="107" t="s">
        <v>4</v>
      </c>
      <c r="G36" s="24"/>
      <c r="H36" s="24"/>
    </row>
    <row r="37" spans="1:8">
      <c r="A37" s="113">
        <v>11</v>
      </c>
      <c r="B37" s="107" t="s">
        <v>636</v>
      </c>
      <c r="C37" s="24" t="s">
        <v>647</v>
      </c>
      <c r="D37" s="107">
        <v>7</v>
      </c>
      <c r="E37" s="107"/>
      <c r="F37" s="107" t="s">
        <v>4</v>
      </c>
      <c r="G37" s="24"/>
      <c r="H37" s="24"/>
    </row>
    <row r="38" spans="1:8">
      <c r="A38" s="113">
        <v>12</v>
      </c>
      <c r="B38" s="107" t="s">
        <v>636</v>
      </c>
      <c r="C38" s="24" t="s">
        <v>648</v>
      </c>
      <c r="D38" s="107">
        <v>1</v>
      </c>
      <c r="E38" s="107"/>
      <c r="F38" s="107" t="s">
        <v>4</v>
      </c>
      <c r="G38" s="24"/>
      <c r="H38" s="24"/>
    </row>
    <row r="39" spans="1:8">
      <c r="A39" s="113">
        <v>13</v>
      </c>
      <c r="B39" s="107" t="s">
        <v>636</v>
      </c>
      <c r="C39" s="24" t="s">
        <v>649</v>
      </c>
      <c r="D39" s="107">
        <v>2</v>
      </c>
      <c r="E39" s="107"/>
      <c r="F39" s="107" t="s">
        <v>4</v>
      </c>
      <c r="G39" s="24"/>
      <c r="H39" s="24"/>
    </row>
    <row r="40" spans="1:8">
      <c r="A40" s="113">
        <v>14</v>
      </c>
      <c r="B40" s="107" t="s">
        <v>636</v>
      </c>
      <c r="C40" s="24" t="s">
        <v>650</v>
      </c>
      <c r="D40" s="107">
        <v>1</v>
      </c>
      <c r="E40" s="107"/>
      <c r="F40" s="107" t="s">
        <v>4</v>
      </c>
      <c r="G40" s="24"/>
      <c r="H40" s="24"/>
    </row>
    <row r="41" spans="1:8">
      <c r="A41" s="113">
        <v>15</v>
      </c>
      <c r="B41" s="107" t="s">
        <v>636</v>
      </c>
      <c r="C41" s="24" t="s">
        <v>651</v>
      </c>
      <c r="D41" s="107">
        <v>2</v>
      </c>
      <c r="E41" s="107"/>
      <c r="F41" s="107" t="s">
        <v>4</v>
      </c>
      <c r="G41" s="24"/>
      <c r="H41" s="24"/>
    </row>
    <row r="42" spans="1:8">
      <c r="A42" s="113">
        <v>16</v>
      </c>
      <c r="B42" s="107" t="s">
        <v>636</v>
      </c>
      <c r="C42" s="24" t="s">
        <v>652</v>
      </c>
      <c r="D42" s="107">
        <v>51</v>
      </c>
      <c r="E42" s="107"/>
      <c r="F42" s="107" t="s">
        <v>4</v>
      </c>
      <c r="G42" s="24"/>
      <c r="H42" s="24"/>
    </row>
    <row r="43" spans="1:8">
      <c r="A43" s="113">
        <v>17</v>
      </c>
      <c r="B43" s="107" t="s">
        <v>636</v>
      </c>
      <c r="C43" s="24" t="s">
        <v>653</v>
      </c>
      <c r="D43" s="107">
        <v>7</v>
      </c>
      <c r="E43" s="107"/>
      <c r="F43" s="107" t="s">
        <v>4</v>
      </c>
      <c r="G43" s="24"/>
      <c r="H43" s="24"/>
    </row>
    <row r="44" spans="1:8">
      <c r="A44" s="113">
        <v>18</v>
      </c>
      <c r="B44" s="107" t="s">
        <v>641</v>
      </c>
      <c r="C44" s="24" t="s">
        <v>654</v>
      </c>
      <c r="D44" s="107">
        <v>22</v>
      </c>
      <c r="E44" s="107"/>
      <c r="F44" s="107" t="s">
        <v>4</v>
      </c>
      <c r="G44" s="24"/>
      <c r="H44" s="24"/>
    </row>
    <row r="45" spans="1:8">
      <c r="A45" s="113">
        <v>19</v>
      </c>
      <c r="B45" s="107" t="s">
        <v>634</v>
      </c>
      <c r="C45" s="24" t="s">
        <v>655</v>
      </c>
      <c r="D45" s="107">
        <v>10</v>
      </c>
      <c r="E45" s="107"/>
      <c r="F45" s="107" t="s">
        <v>4</v>
      </c>
      <c r="G45" s="24"/>
      <c r="H45" s="24"/>
    </row>
    <row r="46" spans="1:8">
      <c r="A46" s="113">
        <v>20</v>
      </c>
      <c r="B46" s="107" t="s">
        <v>636</v>
      </c>
      <c r="C46" s="24" t="s">
        <v>656</v>
      </c>
      <c r="D46" s="107">
        <v>2</v>
      </c>
      <c r="E46" s="107"/>
      <c r="F46" s="107" t="s">
        <v>4</v>
      </c>
      <c r="G46" s="24"/>
      <c r="H46" s="24"/>
    </row>
    <row r="47" spans="1:8">
      <c r="A47" s="113">
        <v>21</v>
      </c>
      <c r="B47" s="107" t="s">
        <v>636</v>
      </c>
      <c r="C47" s="24" t="s">
        <v>657</v>
      </c>
      <c r="D47" s="107">
        <v>32</v>
      </c>
      <c r="E47" s="107"/>
      <c r="F47" s="107" t="s">
        <v>4</v>
      </c>
      <c r="G47" s="24"/>
      <c r="H47" s="24"/>
    </row>
    <row r="48" spans="1:8">
      <c r="A48" s="113">
        <v>22</v>
      </c>
      <c r="B48" s="107" t="s">
        <v>634</v>
      </c>
      <c r="C48" s="24" t="s">
        <v>658</v>
      </c>
      <c r="D48" s="107">
        <v>1</v>
      </c>
      <c r="E48" s="107"/>
      <c r="F48" s="107" t="s">
        <v>4</v>
      </c>
      <c r="G48" s="24"/>
      <c r="H48" s="24"/>
    </row>
    <row r="49" spans="1:8">
      <c r="A49" s="113">
        <v>23</v>
      </c>
      <c r="B49" s="107" t="s">
        <v>639</v>
      </c>
      <c r="C49" s="24" t="s">
        <v>659</v>
      </c>
      <c r="D49" s="107">
        <v>31</v>
      </c>
      <c r="E49" s="107"/>
      <c r="F49" s="107" t="s">
        <v>4</v>
      </c>
      <c r="G49" s="24"/>
      <c r="H49" s="24"/>
    </row>
    <row r="50" spans="1:8">
      <c r="A50" s="113">
        <v>24</v>
      </c>
      <c r="B50" s="107" t="s">
        <v>639</v>
      </c>
      <c r="C50" s="24" t="s">
        <v>660</v>
      </c>
      <c r="D50" s="107">
        <v>36</v>
      </c>
      <c r="E50" s="107"/>
      <c r="F50" s="107" t="s">
        <v>4</v>
      </c>
      <c r="G50" s="24"/>
      <c r="H50" s="24"/>
    </row>
    <row r="51" spans="1:8">
      <c r="A51" s="113">
        <v>25</v>
      </c>
      <c r="B51" s="107" t="s">
        <v>636</v>
      </c>
      <c r="C51" s="24" t="s">
        <v>661</v>
      </c>
      <c r="D51" s="107">
        <v>2</v>
      </c>
      <c r="E51" s="107"/>
      <c r="F51" s="107" t="s">
        <v>4</v>
      </c>
      <c r="G51" s="24"/>
      <c r="H51" s="24"/>
    </row>
    <row r="52" spans="1:8">
      <c r="A52" s="113">
        <v>26</v>
      </c>
      <c r="B52" s="107" t="s">
        <v>639</v>
      </c>
      <c r="C52" s="24" t="s">
        <v>662</v>
      </c>
      <c r="D52" s="107">
        <v>1</v>
      </c>
      <c r="E52" s="107"/>
      <c r="F52" s="107" t="s">
        <v>4</v>
      </c>
      <c r="G52" s="24"/>
      <c r="H52" s="24"/>
    </row>
    <row r="53" spans="1:8">
      <c r="A53" s="113">
        <v>27</v>
      </c>
      <c r="B53" s="107" t="s">
        <v>641</v>
      </c>
      <c r="C53" s="24" t="s">
        <v>663</v>
      </c>
      <c r="D53" s="107">
        <v>22</v>
      </c>
      <c r="E53" s="107"/>
      <c r="F53" s="107" t="s">
        <v>4</v>
      </c>
      <c r="G53" s="24"/>
      <c r="H53" s="24"/>
    </row>
    <row r="54" spans="1:8">
      <c r="A54" s="113">
        <v>28</v>
      </c>
      <c r="B54" s="107" t="s">
        <v>636</v>
      </c>
      <c r="C54" s="24" t="s">
        <v>664</v>
      </c>
      <c r="D54" s="107">
        <v>1</v>
      </c>
      <c r="E54" s="107"/>
      <c r="F54" s="107" t="s">
        <v>4</v>
      </c>
      <c r="G54" s="24"/>
      <c r="H54" s="24"/>
    </row>
    <row r="55" spans="1:8">
      <c r="A55" s="113">
        <v>29</v>
      </c>
      <c r="B55" s="107" t="s">
        <v>665</v>
      </c>
      <c r="C55" s="24" t="s">
        <v>666</v>
      </c>
      <c r="D55" s="107">
        <v>3</v>
      </c>
      <c r="E55" s="107"/>
      <c r="F55" s="107" t="s">
        <v>4</v>
      </c>
      <c r="G55" s="24"/>
      <c r="H55" s="24"/>
    </row>
    <row r="56" spans="1:8">
      <c r="A56" s="113">
        <v>30</v>
      </c>
      <c r="B56" s="107" t="s">
        <v>639</v>
      </c>
      <c r="C56" s="24" t="s">
        <v>667</v>
      </c>
      <c r="D56" s="107">
        <v>4</v>
      </c>
      <c r="E56" s="107"/>
      <c r="F56" s="107" t="s">
        <v>4</v>
      </c>
      <c r="G56" s="24"/>
      <c r="H56" s="24"/>
    </row>
    <row r="57" spans="1:8">
      <c r="A57" s="113">
        <v>31</v>
      </c>
      <c r="B57" s="107" t="s">
        <v>668</v>
      </c>
      <c r="C57" s="24" t="s">
        <v>669</v>
      </c>
      <c r="D57" s="107">
        <v>4</v>
      </c>
      <c r="E57" s="107"/>
      <c r="F57" s="107" t="s">
        <v>4</v>
      </c>
      <c r="G57" s="24"/>
      <c r="H57" s="24"/>
    </row>
    <row r="58" spans="1:8">
      <c r="A58" s="113">
        <v>32</v>
      </c>
      <c r="B58" s="107" t="s">
        <v>670</v>
      </c>
      <c r="C58" s="24" t="s">
        <v>671</v>
      </c>
      <c r="D58" s="107">
        <v>2</v>
      </c>
      <c r="E58" s="107"/>
      <c r="F58" s="107" t="s">
        <v>4</v>
      </c>
      <c r="G58" s="24"/>
      <c r="H58" s="24"/>
    </row>
    <row r="59" spans="1:8">
      <c r="A59" s="113">
        <v>33</v>
      </c>
      <c r="B59" s="107" t="s">
        <v>636</v>
      </c>
      <c r="C59" s="24" t="s">
        <v>672</v>
      </c>
      <c r="D59" s="107">
        <v>4</v>
      </c>
      <c r="E59" s="107"/>
      <c r="F59" s="107" t="s">
        <v>4</v>
      </c>
      <c r="G59" s="24"/>
      <c r="H59" s="24"/>
    </row>
    <row r="60" spans="1:8">
      <c r="A60" s="113">
        <v>34</v>
      </c>
      <c r="B60" s="107" t="s">
        <v>673</v>
      </c>
      <c r="C60" s="24" t="s">
        <v>674</v>
      </c>
      <c r="D60" s="107">
        <v>17</v>
      </c>
      <c r="E60" s="107"/>
      <c r="F60" s="107" t="s">
        <v>4</v>
      </c>
      <c r="G60" s="24"/>
      <c r="H60" s="24"/>
    </row>
    <row r="61" spans="1:8">
      <c r="A61" s="113">
        <v>35</v>
      </c>
      <c r="B61" s="107" t="s">
        <v>675</v>
      </c>
      <c r="C61" s="24" t="s">
        <v>676</v>
      </c>
      <c r="D61" s="107">
        <v>1</v>
      </c>
      <c r="E61" s="107"/>
      <c r="F61" s="107" t="s">
        <v>4</v>
      </c>
      <c r="G61" s="24"/>
      <c r="H61" s="24"/>
    </row>
    <row r="62" spans="1:8">
      <c r="A62" s="113">
        <v>36</v>
      </c>
      <c r="B62" s="107" t="s">
        <v>677</v>
      </c>
      <c r="C62" s="24" t="s">
        <v>678</v>
      </c>
      <c r="D62" s="107">
        <v>2</v>
      </c>
      <c r="E62" s="107"/>
      <c r="F62" s="107" t="s">
        <v>4</v>
      </c>
      <c r="G62" s="24"/>
      <c r="H62" s="24"/>
    </row>
    <row r="63" spans="1:8">
      <c r="A63" s="113">
        <v>37</v>
      </c>
      <c r="B63" s="107" t="s">
        <v>679</v>
      </c>
      <c r="C63" s="24" t="s">
        <v>680</v>
      </c>
      <c r="D63" s="107">
        <v>36</v>
      </c>
      <c r="E63" s="107"/>
      <c r="F63" s="107" t="s">
        <v>4</v>
      </c>
      <c r="G63" s="24"/>
      <c r="H63" s="24"/>
    </row>
    <row r="64" spans="1:8">
      <c r="A64" s="113">
        <v>38</v>
      </c>
      <c r="B64" s="107" t="s">
        <v>673</v>
      </c>
      <c r="C64" s="24" t="s">
        <v>674</v>
      </c>
      <c r="D64" s="107">
        <v>10</v>
      </c>
      <c r="E64" s="107"/>
      <c r="F64" s="107" t="s">
        <v>4</v>
      </c>
      <c r="G64" s="24"/>
      <c r="H64" s="24"/>
    </row>
    <row r="65" spans="1:86">
      <c r="A65" s="113">
        <v>39</v>
      </c>
      <c r="B65" s="107" t="s">
        <v>679</v>
      </c>
      <c r="C65" s="24" t="s">
        <v>681</v>
      </c>
      <c r="D65" s="107">
        <v>3</v>
      </c>
      <c r="E65" s="107"/>
      <c r="F65" s="107" t="s">
        <v>4</v>
      </c>
      <c r="G65" s="24"/>
      <c r="H65" s="24"/>
    </row>
    <row r="66" spans="1:86">
      <c r="A66" s="113">
        <v>40</v>
      </c>
      <c r="B66" s="107" t="s">
        <v>677</v>
      </c>
      <c r="C66" s="24" t="s">
        <v>682</v>
      </c>
      <c r="D66" s="107">
        <v>1</v>
      </c>
      <c r="E66" s="107"/>
      <c r="F66" s="107" t="s">
        <v>4</v>
      </c>
      <c r="G66" s="24"/>
      <c r="H66" s="24"/>
    </row>
    <row r="67" spans="1:86">
      <c r="A67" s="113">
        <v>41</v>
      </c>
      <c r="B67" s="107" t="s">
        <v>677</v>
      </c>
      <c r="C67" s="24" t="s">
        <v>678</v>
      </c>
      <c r="D67" s="107">
        <v>1</v>
      </c>
      <c r="E67" s="107"/>
      <c r="F67" s="107" t="s">
        <v>4</v>
      </c>
      <c r="G67" s="24"/>
      <c r="H67" s="24"/>
    </row>
    <row r="68" spans="1:86">
      <c r="A68" s="113">
        <v>42</v>
      </c>
      <c r="B68" s="107" t="s">
        <v>636</v>
      </c>
      <c r="C68" s="24" t="s">
        <v>683</v>
      </c>
      <c r="D68" s="107">
        <v>34</v>
      </c>
      <c r="E68" s="107"/>
      <c r="F68" s="107" t="s">
        <v>4</v>
      </c>
      <c r="G68" s="24"/>
      <c r="H68" s="24"/>
    </row>
    <row r="69" spans="1:86">
      <c r="A69" s="113">
        <v>43</v>
      </c>
      <c r="B69" s="107" t="s">
        <v>668</v>
      </c>
      <c r="C69" s="24" t="s">
        <v>684</v>
      </c>
      <c r="D69" s="107">
        <v>2</v>
      </c>
      <c r="E69" s="107"/>
      <c r="F69" s="107" t="s">
        <v>4</v>
      </c>
      <c r="G69" s="24"/>
      <c r="H69" s="24"/>
    </row>
    <row r="70" spans="1:86">
      <c r="A70" s="113">
        <v>44</v>
      </c>
      <c r="B70" s="107" t="s">
        <v>670</v>
      </c>
      <c r="C70" s="24" t="s">
        <v>685</v>
      </c>
      <c r="D70" s="107">
        <v>4</v>
      </c>
      <c r="E70" s="107"/>
      <c r="F70" s="107" t="s">
        <v>4</v>
      </c>
      <c r="G70" s="24"/>
      <c r="H70" s="24"/>
    </row>
    <row r="71" spans="1:86">
      <c r="A71" s="113">
        <v>45</v>
      </c>
      <c r="B71" s="107" t="s">
        <v>670</v>
      </c>
      <c r="C71" s="24" t="s">
        <v>686</v>
      </c>
      <c r="D71" s="107">
        <v>1</v>
      </c>
      <c r="E71" s="107"/>
      <c r="F71" s="107" t="s">
        <v>4</v>
      </c>
      <c r="G71" s="24"/>
      <c r="H71" s="24"/>
    </row>
    <row r="72" spans="1:86">
      <c r="A72" s="113">
        <v>46</v>
      </c>
      <c r="B72" s="107" t="s">
        <v>668</v>
      </c>
      <c r="C72" s="24" t="s">
        <v>687</v>
      </c>
      <c r="D72" s="107">
        <v>1</v>
      </c>
      <c r="E72" s="107"/>
      <c r="F72" s="107" t="s">
        <v>4</v>
      </c>
      <c r="G72" s="24"/>
      <c r="H72" s="24"/>
    </row>
    <row r="73" spans="1:86">
      <c r="A73" s="113">
        <v>47</v>
      </c>
      <c r="B73" s="107" t="s">
        <v>688</v>
      </c>
      <c r="C73" s="24" t="s">
        <v>689</v>
      </c>
      <c r="D73" s="107">
        <v>3</v>
      </c>
      <c r="E73" s="107"/>
      <c r="F73" s="107" t="s">
        <v>4</v>
      </c>
      <c r="G73" s="24"/>
      <c r="H73" s="24"/>
    </row>
    <row r="74" spans="1:86" s="109" customFormat="1">
      <c r="A74" s="109" t="s">
        <v>690</v>
      </c>
      <c r="B74" s="115"/>
      <c r="D74" s="111"/>
      <c r="E74" s="111"/>
      <c r="F74" s="115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</row>
    <row r="75" spans="1:86">
      <c r="A75" s="113">
        <v>1</v>
      </c>
      <c r="B75" s="162" t="s">
        <v>305</v>
      </c>
      <c r="C75" s="24" t="s">
        <v>691</v>
      </c>
      <c r="D75" s="107">
        <v>3</v>
      </c>
      <c r="E75" s="107"/>
      <c r="F75" s="107" t="s">
        <v>4</v>
      </c>
      <c r="G75" s="24"/>
      <c r="H75" s="24"/>
    </row>
    <row r="76" spans="1:86">
      <c r="A76" s="113">
        <v>2</v>
      </c>
      <c r="B76" s="163"/>
      <c r="C76" s="24" t="s">
        <v>692</v>
      </c>
      <c r="D76" s="107">
        <v>4</v>
      </c>
      <c r="E76" s="107"/>
      <c r="F76" s="107" t="s">
        <v>4</v>
      </c>
      <c r="G76" s="24"/>
      <c r="H76" s="24"/>
    </row>
    <row r="77" spans="1:86">
      <c r="A77" s="113">
        <v>3</v>
      </c>
      <c r="B77" s="163"/>
      <c r="C77" s="24" t="s">
        <v>693</v>
      </c>
      <c r="D77" s="107">
        <v>2</v>
      </c>
      <c r="E77" s="107"/>
      <c r="F77" s="107" t="s">
        <v>4</v>
      </c>
      <c r="G77" s="24"/>
      <c r="H77" s="24"/>
    </row>
    <row r="78" spans="1:86">
      <c r="A78" s="113">
        <v>4</v>
      </c>
      <c r="B78" s="163"/>
      <c r="C78" s="24" t="s">
        <v>694</v>
      </c>
      <c r="D78" s="107">
        <v>8</v>
      </c>
      <c r="E78" s="107"/>
      <c r="F78" s="107" t="s">
        <v>4</v>
      </c>
      <c r="G78" s="24"/>
      <c r="H78" s="24"/>
    </row>
    <row r="79" spans="1:86">
      <c r="A79" s="113">
        <v>5</v>
      </c>
      <c r="B79" s="163"/>
      <c r="C79" s="24" t="s">
        <v>695</v>
      </c>
      <c r="D79" s="107">
        <v>38</v>
      </c>
      <c r="E79" s="107"/>
      <c r="F79" s="107" t="s">
        <v>4</v>
      </c>
      <c r="G79" s="24"/>
      <c r="H79" s="24"/>
    </row>
    <row r="80" spans="1:86">
      <c r="A80" s="113">
        <v>6</v>
      </c>
      <c r="B80" s="163"/>
      <c r="C80" s="24" t="s">
        <v>696</v>
      </c>
      <c r="D80" s="107">
        <v>5</v>
      </c>
      <c r="E80" s="107"/>
      <c r="F80" s="107" t="s">
        <v>4</v>
      </c>
      <c r="G80" s="24"/>
      <c r="H80" s="24"/>
    </row>
    <row r="81" spans="1:8">
      <c r="A81" s="113">
        <v>7</v>
      </c>
      <c r="B81" s="163"/>
      <c r="C81" s="24" t="s">
        <v>697</v>
      </c>
      <c r="D81" s="107">
        <v>2</v>
      </c>
      <c r="E81" s="107"/>
      <c r="F81" s="107" t="s">
        <v>4</v>
      </c>
      <c r="G81" s="24"/>
      <c r="H81" s="24"/>
    </row>
    <row r="82" spans="1:8">
      <c r="A82" s="113">
        <v>8</v>
      </c>
      <c r="B82" s="163"/>
      <c r="C82" s="24" t="s">
        <v>698</v>
      </c>
      <c r="D82" s="107">
        <v>1</v>
      </c>
      <c r="E82" s="107"/>
      <c r="F82" s="107" t="s">
        <v>4</v>
      </c>
      <c r="G82" s="24"/>
      <c r="H82" s="24"/>
    </row>
    <row r="83" spans="1:8">
      <c r="A83" s="113">
        <v>9</v>
      </c>
      <c r="B83" s="164"/>
      <c r="C83" s="24" t="s">
        <v>699</v>
      </c>
      <c r="D83" s="107">
        <v>4</v>
      </c>
      <c r="E83" s="107"/>
      <c r="F83" s="107" t="s">
        <v>4</v>
      </c>
      <c r="G83" s="24"/>
      <c r="H83" s="24"/>
    </row>
    <row r="84" spans="1:8">
      <c r="A84" s="113">
        <v>10</v>
      </c>
      <c r="B84" s="162" t="s">
        <v>332</v>
      </c>
      <c r="C84" s="24" t="s">
        <v>700</v>
      </c>
      <c r="D84" s="107">
        <v>4</v>
      </c>
      <c r="E84" s="107"/>
      <c r="F84" s="107" t="s">
        <v>4</v>
      </c>
      <c r="G84" s="24"/>
      <c r="H84" s="24"/>
    </row>
    <row r="85" spans="1:8">
      <c r="A85" s="113">
        <v>11</v>
      </c>
      <c r="B85" s="163"/>
      <c r="C85" s="24" t="s">
        <v>701</v>
      </c>
      <c r="D85" s="107">
        <v>2</v>
      </c>
      <c r="E85" s="107"/>
      <c r="F85" s="107" t="s">
        <v>4</v>
      </c>
      <c r="G85" s="24"/>
      <c r="H85" s="24"/>
    </row>
    <row r="86" spans="1:8">
      <c r="A86" s="113">
        <v>12</v>
      </c>
      <c r="B86" s="163"/>
      <c r="C86" s="24" t="s">
        <v>702</v>
      </c>
      <c r="D86" s="107">
        <v>5</v>
      </c>
      <c r="E86" s="107"/>
      <c r="F86" s="107" t="s">
        <v>4</v>
      </c>
      <c r="G86" s="24"/>
      <c r="H86" s="24"/>
    </row>
    <row r="87" spans="1:8">
      <c r="A87" s="113">
        <v>13</v>
      </c>
      <c r="B87" s="163"/>
      <c r="C87" s="24" t="s">
        <v>703</v>
      </c>
      <c r="D87" s="107">
        <v>2</v>
      </c>
      <c r="E87" s="107"/>
      <c r="F87" s="107" t="s">
        <v>4</v>
      </c>
      <c r="G87" s="24"/>
      <c r="H87" s="24"/>
    </row>
    <row r="88" spans="1:8">
      <c r="A88" s="113">
        <v>14</v>
      </c>
      <c r="B88" s="163"/>
      <c r="C88" s="24" t="s">
        <v>704</v>
      </c>
      <c r="D88" s="107">
        <v>1</v>
      </c>
      <c r="E88" s="107"/>
      <c r="F88" s="107" t="s">
        <v>4</v>
      </c>
      <c r="G88" s="24"/>
      <c r="H88" s="24"/>
    </row>
    <row r="89" spans="1:8">
      <c r="A89" s="113">
        <v>15</v>
      </c>
      <c r="B89" s="163"/>
      <c r="C89" s="24" t="s">
        <v>705</v>
      </c>
      <c r="D89" s="107">
        <v>1</v>
      </c>
      <c r="E89" s="107"/>
      <c r="F89" s="107" t="s">
        <v>4</v>
      </c>
      <c r="G89" s="24"/>
      <c r="H89" s="24"/>
    </row>
    <row r="90" spans="1:8">
      <c r="A90" s="113">
        <v>16</v>
      </c>
      <c r="B90" s="163"/>
      <c r="C90" s="24" t="s">
        <v>706</v>
      </c>
      <c r="D90" s="107">
        <v>4</v>
      </c>
      <c r="E90" s="107"/>
      <c r="F90" s="107" t="s">
        <v>4</v>
      </c>
      <c r="G90" s="24"/>
      <c r="H90" s="24"/>
    </row>
    <row r="91" spans="1:8">
      <c r="A91" s="113">
        <v>17</v>
      </c>
      <c r="B91" s="163"/>
      <c r="C91" s="24" t="s">
        <v>707</v>
      </c>
      <c r="D91" s="107">
        <v>2</v>
      </c>
      <c r="E91" s="107"/>
      <c r="F91" s="107" t="s">
        <v>4</v>
      </c>
      <c r="G91" s="24"/>
      <c r="H91" s="24"/>
    </row>
    <row r="92" spans="1:8">
      <c r="A92" s="113">
        <v>18</v>
      </c>
      <c r="B92" s="163"/>
      <c r="C92" s="24" t="s">
        <v>708</v>
      </c>
      <c r="D92" s="107">
        <v>5</v>
      </c>
      <c r="E92" s="107"/>
      <c r="F92" s="107" t="s">
        <v>4</v>
      </c>
      <c r="G92" s="24"/>
      <c r="H92" s="24"/>
    </row>
    <row r="93" spans="1:8">
      <c r="A93" s="113">
        <v>19</v>
      </c>
      <c r="B93" s="163"/>
      <c r="C93" s="24" t="s">
        <v>709</v>
      </c>
      <c r="D93" s="107">
        <v>3</v>
      </c>
      <c r="E93" s="107"/>
      <c r="F93" s="107" t="s">
        <v>4</v>
      </c>
      <c r="G93" s="24"/>
      <c r="H93" s="24"/>
    </row>
    <row r="94" spans="1:8">
      <c r="A94" s="113">
        <v>20</v>
      </c>
      <c r="B94" s="163"/>
      <c r="C94" s="24" t="s">
        <v>710</v>
      </c>
      <c r="D94" s="107">
        <v>1</v>
      </c>
      <c r="E94" s="107"/>
      <c r="F94" s="107" t="s">
        <v>4</v>
      </c>
      <c r="G94" s="24"/>
      <c r="H94" s="24"/>
    </row>
    <row r="95" spans="1:8">
      <c r="A95" s="113">
        <v>21</v>
      </c>
      <c r="B95" s="163"/>
      <c r="C95" s="24" t="s">
        <v>711</v>
      </c>
      <c r="D95" s="107">
        <v>6</v>
      </c>
      <c r="E95" s="107"/>
      <c r="F95" s="107" t="s">
        <v>4</v>
      </c>
      <c r="G95" s="24"/>
      <c r="H95" s="24"/>
    </row>
    <row r="96" spans="1:8">
      <c r="A96" s="113">
        <v>22</v>
      </c>
      <c r="B96" s="164"/>
      <c r="C96" s="24" t="s">
        <v>712</v>
      </c>
      <c r="D96" s="107">
        <v>4</v>
      </c>
      <c r="E96" s="107"/>
      <c r="F96" s="107" t="s">
        <v>4</v>
      </c>
      <c r="G96" s="24"/>
      <c r="H96" s="24"/>
    </row>
    <row r="97" spans="1:8">
      <c r="A97" s="113">
        <v>23</v>
      </c>
      <c r="B97" s="162" t="s">
        <v>305</v>
      </c>
      <c r="C97" s="24" t="s">
        <v>713</v>
      </c>
      <c r="D97" s="107">
        <v>1</v>
      </c>
      <c r="E97" s="107"/>
      <c r="F97" s="107" t="s">
        <v>4</v>
      </c>
      <c r="G97" s="24"/>
      <c r="H97" s="24"/>
    </row>
    <row r="98" spans="1:8">
      <c r="A98" s="113">
        <v>24</v>
      </c>
      <c r="B98" s="163"/>
      <c r="C98" s="24" t="s">
        <v>714</v>
      </c>
      <c r="D98" s="107">
        <v>21</v>
      </c>
      <c r="E98" s="107"/>
      <c r="F98" s="107" t="s">
        <v>4</v>
      </c>
      <c r="G98" s="24"/>
      <c r="H98" s="24"/>
    </row>
    <row r="99" spans="1:8">
      <c r="A99" s="113">
        <v>25</v>
      </c>
      <c r="B99" s="163"/>
      <c r="C99" s="24" t="s">
        <v>715</v>
      </c>
      <c r="D99" s="107">
        <v>1</v>
      </c>
      <c r="E99" s="107"/>
      <c r="F99" s="107" t="s">
        <v>4</v>
      </c>
      <c r="G99" s="24"/>
      <c r="H99" s="24"/>
    </row>
    <row r="100" spans="1:8">
      <c r="A100" s="113">
        <v>26</v>
      </c>
      <c r="B100" s="163"/>
      <c r="C100" s="24" t="s">
        <v>716</v>
      </c>
      <c r="D100" s="107">
        <v>8</v>
      </c>
      <c r="E100" s="107"/>
      <c r="F100" s="107" t="s">
        <v>4</v>
      </c>
      <c r="G100" s="24"/>
      <c r="H100" s="24"/>
    </row>
    <row r="101" spans="1:8">
      <c r="A101" s="113">
        <v>27</v>
      </c>
      <c r="B101" s="163"/>
      <c r="C101" s="24" t="s">
        <v>717</v>
      </c>
      <c r="D101" s="107">
        <v>6</v>
      </c>
      <c r="E101" s="107"/>
      <c r="F101" s="107" t="s">
        <v>4</v>
      </c>
      <c r="G101" s="24"/>
      <c r="H101" s="24"/>
    </row>
    <row r="102" spans="1:8">
      <c r="A102" s="113">
        <v>28</v>
      </c>
      <c r="B102" s="164"/>
      <c r="C102" s="24" t="s">
        <v>718</v>
      </c>
      <c r="D102" s="107">
        <v>17</v>
      </c>
      <c r="E102" s="107"/>
      <c r="F102" s="107" t="s">
        <v>4</v>
      </c>
      <c r="G102" s="24"/>
      <c r="H102" s="24"/>
    </row>
    <row r="103" spans="1:8">
      <c r="A103" s="113">
        <v>29</v>
      </c>
      <c r="B103" s="107" t="s">
        <v>332</v>
      </c>
      <c r="C103" s="24" t="s">
        <v>719</v>
      </c>
      <c r="D103" s="107">
        <v>1</v>
      </c>
      <c r="E103" s="107"/>
      <c r="F103" s="107" t="s">
        <v>4</v>
      </c>
      <c r="G103" s="24"/>
      <c r="H103" s="24"/>
    </row>
    <row r="104" spans="1:8">
      <c r="A104" s="113">
        <v>30</v>
      </c>
      <c r="B104" s="162" t="s">
        <v>305</v>
      </c>
      <c r="C104" s="24" t="s">
        <v>714</v>
      </c>
      <c r="D104" s="107">
        <v>5</v>
      </c>
      <c r="E104" s="107"/>
      <c r="F104" s="107" t="s">
        <v>4</v>
      </c>
      <c r="G104" s="24"/>
      <c r="H104" s="24"/>
    </row>
    <row r="105" spans="1:8">
      <c r="A105" s="113">
        <v>31</v>
      </c>
      <c r="B105" s="163"/>
      <c r="C105" s="24" t="s">
        <v>720</v>
      </c>
      <c r="D105" s="107">
        <v>17</v>
      </c>
      <c r="E105" s="107"/>
      <c r="F105" s="107" t="s">
        <v>4</v>
      </c>
      <c r="G105" s="24"/>
      <c r="H105" s="24"/>
    </row>
    <row r="106" spans="1:8">
      <c r="A106" s="113">
        <v>32</v>
      </c>
      <c r="B106" s="163"/>
      <c r="C106" s="24" t="s">
        <v>721</v>
      </c>
      <c r="D106" s="107">
        <v>1</v>
      </c>
      <c r="E106" s="107"/>
      <c r="F106" s="107" t="s">
        <v>4</v>
      </c>
      <c r="G106" s="24"/>
      <c r="H106" s="24"/>
    </row>
    <row r="107" spans="1:8">
      <c r="A107" s="113">
        <v>33</v>
      </c>
      <c r="B107" s="163"/>
      <c r="C107" s="24" t="s">
        <v>722</v>
      </c>
      <c r="D107" s="107">
        <v>2</v>
      </c>
      <c r="E107" s="107"/>
      <c r="F107" s="107" t="s">
        <v>4</v>
      </c>
      <c r="G107" s="24"/>
      <c r="H107" s="24"/>
    </row>
    <row r="108" spans="1:8">
      <c r="A108" s="113">
        <v>34</v>
      </c>
      <c r="B108" s="163"/>
      <c r="C108" s="24" t="s">
        <v>723</v>
      </c>
      <c r="D108" s="107">
        <v>4</v>
      </c>
      <c r="E108" s="107"/>
      <c r="F108" s="107" t="s">
        <v>4</v>
      </c>
      <c r="G108" s="24"/>
      <c r="H108" s="24"/>
    </row>
    <row r="109" spans="1:8">
      <c r="A109" s="113">
        <v>35</v>
      </c>
      <c r="B109" s="163"/>
      <c r="C109" s="24" t="s">
        <v>724</v>
      </c>
      <c r="D109" s="107">
        <v>20</v>
      </c>
      <c r="E109" s="107"/>
      <c r="F109" s="107" t="s">
        <v>4</v>
      </c>
      <c r="G109" s="24"/>
      <c r="H109" s="24"/>
    </row>
    <row r="110" spans="1:8">
      <c r="A110" s="113">
        <v>36</v>
      </c>
      <c r="B110" s="164"/>
      <c r="C110" s="24" t="s">
        <v>725</v>
      </c>
      <c r="D110" s="107">
        <v>16</v>
      </c>
      <c r="E110" s="107"/>
      <c r="F110" s="107" t="s">
        <v>4</v>
      </c>
      <c r="G110" s="24"/>
      <c r="H110" s="24"/>
    </row>
    <row r="111" spans="1:8">
      <c r="A111" s="113">
        <v>37</v>
      </c>
      <c r="B111" s="162" t="s">
        <v>332</v>
      </c>
      <c r="C111" s="24" t="s">
        <v>726</v>
      </c>
      <c r="D111" s="107">
        <v>47</v>
      </c>
      <c r="E111" s="107"/>
      <c r="F111" s="107" t="s">
        <v>4</v>
      </c>
      <c r="G111" s="24"/>
      <c r="H111" s="24"/>
    </row>
    <row r="112" spans="1:8">
      <c r="A112" s="113">
        <v>38</v>
      </c>
      <c r="B112" s="164"/>
      <c r="C112" s="24" t="s">
        <v>727</v>
      </c>
      <c r="D112" s="107">
        <v>1</v>
      </c>
      <c r="E112" s="107"/>
      <c r="F112" s="107" t="s">
        <v>4</v>
      </c>
      <c r="G112" s="24"/>
      <c r="H112" s="24"/>
    </row>
    <row r="113" spans="1:86">
      <c r="A113" s="113">
        <v>39</v>
      </c>
      <c r="B113" s="162" t="s">
        <v>305</v>
      </c>
      <c r="C113" s="24" t="s">
        <v>728</v>
      </c>
      <c r="D113" s="107">
        <v>8</v>
      </c>
      <c r="E113" s="107"/>
      <c r="F113" s="107" t="s">
        <v>4</v>
      </c>
      <c r="G113" s="24"/>
      <c r="H113" s="24"/>
    </row>
    <row r="114" spans="1:86">
      <c r="A114" s="113">
        <v>40</v>
      </c>
      <c r="B114" s="163"/>
      <c r="C114" s="24" t="s">
        <v>729</v>
      </c>
      <c r="D114" s="107">
        <v>17</v>
      </c>
      <c r="E114" s="107"/>
      <c r="F114" s="107" t="s">
        <v>4</v>
      </c>
      <c r="G114" s="24"/>
      <c r="H114" s="24"/>
    </row>
    <row r="115" spans="1:86">
      <c r="A115" s="113">
        <v>41</v>
      </c>
      <c r="B115" s="164"/>
      <c r="C115" s="24" t="s">
        <v>730</v>
      </c>
      <c r="D115" s="107">
        <v>4</v>
      </c>
      <c r="E115" s="107"/>
      <c r="F115" s="107" t="s">
        <v>4</v>
      </c>
      <c r="G115" s="24"/>
      <c r="H115" s="24"/>
    </row>
    <row r="116" spans="1:86">
      <c r="A116" s="113">
        <v>42</v>
      </c>
      <c r="B116" s="162" t="s">
        <v>332</v>
      </c>
      <c r="C116" s="24" t="s">
        <v>731</v>
      </c>
      <c r="D116" s="107">
        <v>12</v>
      </c>
      <c r="E116" s="107"/>
      <c r="F116" s="107" t="s">
        <v>4</v>
      </c>
      <c r="G116" s="24"/>
      <c r="H116" s="24"/>
    </row>
    <row r="117" spans="1:86">
      <c r="A117" s="113">
        <v>43</v>
      </c>
      <c r="B117" s="163"/>
      <c r="C117" s="24" t="s">
        <v>732</v>
      </c>
      <c r="D117" s="107">
        <v>1</v>
      </c>
      <c r="E117" s="107"/>
      <c r="F117" s="107" t="s">
        <v>4</v>
      </c>
      <c r="G117" s="24"/>
      <c r="H117" s="24"/>
    </row>
    <row r="118" spans="1:86">
      <c r="A118" s="113">
        <v>44</v>
      </c>
      <c r="B118" s="163"/>
      <c r="C118" s="24" t="s">
        <v>733</v>
      </c>
      <c r="D118" s="107">
        <v>2</v>
      </c>
      <c r="E118" s="107"/>
      <c r="F118" s="107" t="s">
        <v>4</v>
      </c>
      <c r="G118" s="24"/>
      <c r="H118" s="24"/>
    </row>
    <row r="119" spans="1:86">
      <c r="A119" s="113">
        <v>45</v>
      </c>
      <c r="B119" s="164"/>
      <c r="C119" s="24" t="s">
        <v>734</v>
      </c>
      <c r="D119" s="107">
        <v>1</v>
      </c>
      <c r="E119" s="107"/>
      <c r="F119" s="107" t="s">
        <v>4</v>
      </c>
      <c r="G119" s="24"/>
      <c r="H119" s="24"/>
    </row>
    <row r="120" spans="1:86">
      <c r="A120" s="113">
        <v>46</v>
      </c>
      <c r="B120" s="107" t="s">
        <v>305</v>
      </c>
      <c r="C120" s="24" t="s">
        <v>735</v>
      </c>
      <c r="D120" s="107">
        <v>3</v>
      </c>
      <c r="E120" s="107"/>
      <c r="F120" s="107" t="s">
        <v>4</v>
      </c>
      <c r="G120" s="24"/>
      <c r="H120" s="24"/>
    </row>
    <row r="121" spans="1:86">
      <c r="A121" s="113">
        <v>47</v>
      </c>
      <c r="B121" s="107" t="s">
        <v>332</v>
      </c>
      <c r="C121" s="24" t="s">
        <v>736</v>
      </c>
      <c r="D121" s="107">
        <v>31</v>
      </c>
      <c r="E121" s="107"/>
      <c r="F121" s="107" t="s">
        <v>4</v>
      </c>
      <c r="G121" s="24"/>
      <c r="H121" s="24"/>
    </row>
    <row r="122" spans="1:86">
      <c r="A122" s="113">
        <v>48</v>
      </c>
      <c r="B122" s="107" t="s">
        <v>305</v>
      </c>
      <c r="C122" s="24" t="s">
        <v>737</v>
      </c>
      <c r="D122" s="107">
        <v>2</v>
      </c>
      <c r="E122" s="107"/>
      <c r="F122" s="107" t="s">
        <v>4</v>
      </c>
      <c r="G122" s="24"/>
      <c r="H122" s="24"/>
    </row>
    <row r="123" spans="1:86">
      <c r="A123" s="113">
        <v>49</v>
      </c>
      <c r="B123" s="162" t="s">
        <v>332</v>
      </c>
      <c r="C123" s="24" t="s">
        <v>738</v>
      </c>
      <c r="D123" s="107">
        <v>2</v>
      </c>
      <c r="E123" s="107"/>
      <c r="F123" s="107" t="s">
        <v>4</v>
      </c>
      <c r="G123" s="24"/>
      <c r="H123" s="24"/>
    </row>
    <row r="124" spans="1:86">
      <c r="A124" s="113">
        <v>50</v>
      </c>
      <c r="B124" s="164"/>
      <c r="C124" s="24" t="s">
        <v>739</v>
      </c>
      <c r="D124" s="107">
        <v>1</v>
      </c>
      <c r="E124" s="107"/>
      <c r="F124" s="107" t="s">
        <v>4</v>
      </c>
      <c r="G124" s="24"/>
      <c r="H124" s="24"/>
    </row>
    <row r="125" spans="1:86">
      <c r="A125" s="113">
        <v>51</v>
      </c>
      <c r="B125" s="162" t="s">
        <v>305</v>
      </c>
      <c r="C125" s="24" t="s">
        <v>740</v>
      </c>
      <c r="D125" s="107">
        <v>5</v>
      </c>
      <c r="E125" s="107"/>
      <c r="F125" s="107" t="s">
        <v>4</v>
      </c>
      <c r="G125" s="24"/>
      <c r="H125" s="24"/>
    </row>
    <row r="126" spans="1:86">
      <c r="A126" s="113">
        <v>52</v>
      </c>
      <c r="B126" s="164"/>
      <c r="C126" s="24" t="s">
        <v>741</v>
      </c>
      <c r="D126" s="107">
        <v>2</v>
      </c>
      <c r="E126" s="107"/>
      <c r="F126" s="107" t="s">
        <v>4</v>
      </c>
      <c r="G126" s="24"/>
      <c r="H126" s="24"/>
    </row>
    <row r="127" spans="1:86" s="109" customFormat="1">
      <c r="A127" s="109" t="s">
        <v>742</v>
      </c>
      <c r="B127" s="115"/>
      <c r="D127" s="111"/>
      <c r="E127" s="111"/>
      <c r="F127" s="115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</row>
    <row r="128" spans="1:86">
      <c r="A128" s="113">
        <v>1</v>
      </c>
      <c r="B128" s="107" t="s">
        <v>742</v>
      </c>
      <c r="C128" s="24" t="s">
        <v>743</v>
      </c>
      <c r="D128" s="107">
        <v>1</v>
      </c>
      <c r="E128" s="107"/>
      <c r="F128" s="107" t="s">
        <v>4</v>
      </c>
      <c r="G128" s="24"/>
      <c r="H128" s="24"/>
    </row>
    <row r="129" spans="1:86">
      <c r="A129" s="113">
        <v>2</v>
      </c>
      <c r="B129" s="107" t="s">
        <v>742</v>
      </c>
      <c r="C129" s="24" t="s">
        <v>744</v>
      </c>
      <c r="D129" s="107">
        <v>7</v>
      </c>
      <c r="E129" s="107"/>
      <c r="F129" s="107" t="s">
        <v>4</v>
      </c>
      <c r="G129" s="24"/>
      <c r="H129" s="24"/>
    </row>
    <row r="130" spans="1:86">
      <c r="A130" s="113">
        <v>3</v>
      </c>
      <c r="B130" s="107" t="s">
        <v>742</v>
      </c>
      <c r="C130" s="24" t="s">
        <v>745</v>
      </c>
      <c r="D130" s="107">
        <v>3</v>
      </c>
      <c r="E130" s="107"/>
      <c r="F130" s="107" t="s">
        <v>4</v>
      </c>
      <c r="G130" s="24"/>
      <c r="H130" s="24"/>
    </row>
    <row r="131" spans="1:86">
      <c r="A131" s="113">
        <v>4</v>
      </c>
      <c r="B131" s="107" t="s">
        <v>742</v>
      </c>
      <c r="C131" s="24" t="s">
        <v>746</v>
      </c>
      <c r="D131" s="107">
        <v>12</v>
      </c>
      <c r="E131" s="107"/>
      <c r="F131" s="107" t="s">
        <v>4</v>
      </c>
      <c r="G131" s="24"/>
      <c r="H131" s="24"/>
    </row>
    <row r="132" spans="1:86">
      <c r="A132" s="113">
        <v>5</v>
      </c>
      <c r="B132" s="107" t="s">
        <v>742</v>
      </c>
      <c r="C132" s="24" t="s">
        <v>747</v>
      </c>
      <c r="D132" s="107">
        <v>14</v>
      </c>
      <c r="E132" s="107"/>
      <c r="F132" s="107" t="s">
        <v>4</v>
      </c>
      <c r="G132" s="24"/>
      <c r="H132" s="24"/>
    </row>
    <row r="133" spans="1:86">
      <c r="A133" s="113">
        <v>6</v>
      </c>
      <c r="B133" s="107" t="s">
        <v>742</v>
      </c>
      <c r="C133" s="24" t="s">
        <v>748</v>
      </c>
      <c r="D133" s="107">
        <v>1</v>
      </c>
      <c r="E133" s="107"/>
      <c r="F133" s="107" t="s">
        <v>4</v>
      </c>
      <c r="G133" s="24"/>
      <c r="H133" s="24"/>
    </row>
    <row r="134" spans="1:86" s="109" customFormat="1">
      <c r="A134" s="109" t="s">
        <v>749</v>
      </c>
      <c r="B134" s="115"/>
      <c r="D134" s="111"/>
      <c r="E134" s="111"/>
      <c r="F134" s="115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</row>
    <row r="135" spans="1:86">
      <c r="A135" s="113">
        <v>1</v>
      </c>
      <c r="B135" s="107" t="s">
        <v>749</v>
      </c>
      <c r="C135" s="24" t="s">
        <v>750</v>
      </c>
      <c r="D135" s="107">
        <v>8</v>
      </c>
      <c r="E135" s="107"/>
      <c r="F135" s="107" t="s">
        <v>4</v>
      </c>
      <c r="G135" s="24"/>
      <c r="H135" s="24"/>
    </row>
    <row r="136" spans="1:86">
      <c r="A136" s="113">
        <v>2</v>
      </c>
      <c r="B136" s="107" t="s">
        <v>749</v>
      </c>
      <c r="C136" s="24" t="s">
        <v>751</v>
      </c>
      <c r="D136" s="107">
        <v>3</v>
      </c>
      <c r="E136" s="107"/>
      <c r="F136" s="107" t="s">
        <v>4</v>
      </c>
      <c r="G136" s="24"/>
      <c r="H136" s="24"/>
    </row>
    <row r="137" spans="1:86">
      <c r="A137" s="113">
        <v>3</v>
      </c>
      <c r="B137" s="107" t="s">
        <v>749</v>
      </c>
      <c r="C137" s="24" t="s">
        <v>752</v>
      </c>
      <c r="D137" s="107">
        <v>4</v>
      </c>
      <c r="E137" s="107"/>
      <c r="F137" s="107" t="s">
        <v>4</v>
      </c>
      <c r="G137" s="24"/>
      <c r="H137" s="24"/>
    </row>
    <row r="138" spans="1:86">
      <c r="A138" s="113">
        <v>4</v>
      </c>
      <c r="B138" s="107" t="s">
        <v>749</v>
      </c>
      <c r="C138" s="24" t="s">
        <v>753</v>
      </c>
      <c r="D138" s="107">
        <v>24</v>
      </c>
      <c r="E138" s="107"/>
      <c r="F138" s="107" t="s">
        <v>4</v>
      </c>
      <c r="G138" s="24"/>
      <c r="H138" s="24"/>
    </row>
    <row r="139" spans="1:86">
      <c r="A139" s="113">
        <v>5</v>
      </c>
      <c r="B139" s="107" t="s">
        <v>749</v>
      </c>
      <c r="C139" s="24" t="s">
        <v>754</v>
      </c>
      <c r="D139" s="107">
        <v>1</v>
      </c>
      <c r="E139" s="107"/>
      <c r="F139" s="107" t="s">
        <v>4</v>
      </c>
      <c r="G139" s="24"/>
      <c r="H139" s="24"/>
    </row>
    <row r="140" spans="1:86">
      <c r="A140" s="113">
        <v>6</v>
      </c>
      <c r="B140" s="107" t="s">
        <v>749</v>
      </c>
      <c r="C140" s="24" t="s">
        <v>755</v>
      </c>
      <c r="D140" s="107">
        <v>4</v>
      </c>
      <c r="E140" s="107"/>
      <c r="F140" s="107" t="s">
        <v>4</v>
      </c>
      <c r="G140" s="24"/>
      <c r="H140" s="24"/>
    </row>
    <row r="141" spans="1:86">
      <c r="A141" s="113">
        <v>7</v>
      </c>
      <c r="B141" s="107" t="s">
        <v>749</v>
      </c>
      <c r="C141" s="24" t="s">
        <v>756</v>
      </c>
      <c r="D141" s="107">
        <v>1</v>
      </c>
      <c r="E141" s="107"/>
      <c r="F141" s="107" t="s">
        <v>4</v>
      </c>
      <c r="G141" s="24"/>
      <c r="H141" s="24"/>
    </row>
    <row r="142" spans="1:86">
      <c r="A142" s="113">
        <v>8</v>
      </c>
      <c r="B142" s="107" t="s">
        <v>749</v>
      </c>
      <c r="C142" s="24" t="s">
        <v>757</v>
      </c>
      <c r="D142" s="107">
        <v>1</v>
      </c>
      <c r="E142" s="107"/>
      <c r="F142" s="107" t="s">
        <v>4</v>
      </c>
      <c r="G142" s="24"/>
      <c r="H142" s="24"/>
    </row>
    <row r="143" spans="1:86">
      <c r="A143" s="113">
        <v>9</v>
      </c>
      <c r="B143" s="107" t="s">
        <v>749</v>
      </c>
      <c r="C143" s="24" t="s">
        <v>758</v>
      </c>
      <c r="D143" s="107">
        <v>1</v>
      </c>
      <c r="E143" s="107"/>
      <c r="F143" s="107" t="s">
        <v>4</v>
      </c>
      <c r="G143" s="24"/>
      <c r="H143" s="24"/>
    </row>
    <row r="144" spans="1:86">
      <c r="A144" s="113">
        <v>10</v>
      </c>
      <c r="B144" s="107" t="s">
        <v>749</v>
      </c>
      <c r="C144" s="24" t="s">
        <v>759</v>
      </c>
      <c r="D144" s="107">
        <v>1</v>
      </c>
      <c r="E144" s="107"/>
      <c r="F144" s="107" t="s">
        <v>4</v>
      </c>
      <c r="G144" s="24"/>
      <c r="H144" s="24"/>
    </row>
    <row r="145" spans="1:86">
      <c r="A145" s="113">
        <v>11</v>
      </c>
      <c r="B145" s="107" t="s">
        <v>749</v>
      </c>
      <c r="C145" s="24" t="s">
        <v>760</v>
      </c>
      <c r="D145" s="107">
        <v>3</v>
      </c>
      <c r="E145" s="107"/>
      <c r="F145" s="107" t="s">
        <v>4</v>
      </c>
      <c r="G145" s="24"/>
      <c r="H145" s="24"/>
    </row>
    <row r="146" spans="1:86">
      <c r="A146" s="113">
        <v>12</v>
      </c>
      <c r="B146" s="107" t="s">
        <v>749</v>
      </c>
      <c r="C146" s="24" t="s">
        <v>761</v>
      </c>
      <c r="D146" s="107">
        <v>1</v>
      </c>
      <c r="E146" s="107"/>
      <c r="F146" s="107" t="s">
        <v>4</v>
      </c>
      <c r="G146" s="24"/>
      <c r="H146" s="24"/>
    </row>
    <row r="147" spans="1:86">
      <c r="A147" s="113">
        <v>13</v>
      </c>
      <c r="B147" s="107" t="s">
        <v>749</v>
      </c>
      <c r="C147" s="24" t="s">
        <v>762</v>
      </c>
      <c r="D147" s="107">
        <v>10</v>
      </c>
      <c r="E147" s="107"/>
      <c r="F147" s="107" t="s">
        <v>4</v>
      </c>
      <c r="G147" s="24"/>
      <c r="H147" s="24"/>
    </row>
    <row r="148" spans="1:86">
      <c r="A148" s="113">
        <v>14</v>
      </c>
      <c r="B148" s="107" t="s">
        <v>749</v>
      </c>
      <c r="C148" s="24" t="s">
        <v>763</v>
      </c>
      <c r="D148" s="107">
        <v>52</v>
      </c>
      <c r="E148" s="107"/>
      <c r="F148" s="107" t="s">
        <v>4</v>
      </c>
      <c r="G148" s="24"/>
      <c r="H148" s="24"/>
    </row>
    <row r="149" spans="1:86">
      <c r="A149" s="113">
        <v>15</v>
      </c>
      <c r="B149" s="107" t="s">
        <v>749</v>
      </c>
      <c r="C149" s="24" t="s">
        <v>764</v>
      </c>
      <c r="D149" s="107">
        <v>18</v>
      </c>
      <c r="E149" s="107"/>
      <c r="F149" s="107" t="s">
        <v>4</v>
      </c>
      <c r="G149" s="24"/>
      <c r="H149" s="24"/>
    </row>
    <row r="150" spans="1:86">
      <c r="A150" s="113">
        <v>16</v>
      </c>
      <c r="B150" s="107" t="s">
        <v>749</v>
      </c>
      <c r="C150" s="24" t="s">
        <v>765</v>
      </c>
      <c r="D150" s="107">
        <v>1</v>
      </c>
      <c r="E150" s="107"/>
      <c r="F150" s="107" t="s">
        <v>4</v>
      </c>
      <c r="G150" s="24"/>
      <c r="H150" s="24"/>
    </row>
    <row r="151" spans="1:86">
      <c r="A151" s="113">
        <v>17</v>
      </c>
      <c r="B151" s="107" t="s">
        <v>749</v>
      </c>
      <c r="C151" s="24" t="s">
        <v>766</v>
      </c>
      <c r="D151" s="107">
        <v>5</v>
      </c>
      <c r="E151" s="107"/>
      <c r="F151" s="107" t="s">
        <v>4</v>
      </c>
      <c r="G151" s="24"/>
      <c r="H151" s="24"/>
    </row>
    <row r="152" spans="1:86" s="109" customFormat="1">
      <c r="A152" s="109" t="s">
        <v>767</v>
      </c>
      <c r="B152" s="115"/>
      <c r="D152" s="111"/>
      <c r="E152" s="111"/>
      <c r="F152" s="115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</row>
    <row r="153" spans="1:86">
      <c r="A153" s="113">
        <v>1</v>
      </c>
      <c r="B153" s="107" t="s">
        <v>767</v>
      </c>
      <c r="C153" s="116" t="s">
        <v>768</v>
      </c>
      <c r="D153" s="107">
        <v>2</v>
      </c>
      <c r="E153" s="107"/>
      <c r="F153" s="107" t="s">
        <v>4</v>
      </c>
      <c r="G153" s="24"/>
      <c r="H153" s="24"/>
    </row>
    <row r="154" spans="1:86">
      <c r="A154" s="113">
        <v>2</v>
      </c>
      <c r="B154" s="107" t="s">
        <v>767</v>
      </c>
      <c r="C154" s="116" t="s">
        <v>769</v>
      </c>
      <c r="D154" s="107">
        <v>1</v>
      </c>
      <c r="E154" s="107"/>
      <c r="F154" s="107" t="s">
        <v>4</v>
      </c>
      <c r="G154" s="24"/>
      <c r="H154" s="24"/>
    </row>
    <row r="155" spans="1:86" s="109" customFormat="1">
      <c r="A155" s="109" t="s">
        <v>770</v>
      </c>
      <c r="B155" s="115"/>
      <c r="D155" s="111"/>
      <c r="E155" s="111"/>
      <c r="F155" s="11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</row>
    <row r="156" spans="1:86">
      <c r="A156" s="113">
        <v>1</v>
      </c>
      <c r="B156" s="107" t="s">
        <v>771</v>
      </c>
      <c r="C156" s="116" t="s">
        <v>772</v>
      </c>
      <c r="D156" s="107">
        <v>8</v>
      </c>
      <c r="E156" s="107"/>
      <c r="F156" s="107" t="s">
        <v>4</v>
      </c>
      <c r="G156" s="24"/>
      <c r="H156" s="24"/>
    </row>
    <row r="157" spans="1:86">
      <c r="A157" s="113">
        <v>2</v>
      </c>
      <c r="B157" s="107" t="s">
        <v>771</v>
      </c>
      <c r="C157" s="116" t="s">
        <v>773</v>
      </c>
      <c r="D157" s="107">
        <v>11</v>
      </c>
      <c r="E157" s="107"/>
      <c r="F157" s="107" t="s">
        <v>4</v>
      </c>
      <c r="G157" s="24"/>
      <c r="H157" s="24"/>
    </row>
    <row r="158" spans="1:86">
      <c r="A158" s="113">
        <v>3</v>
      </c>
      <c r="B158" s="107" t="s">
        <v>771</v>
      </c>
      <c r="C158" s="116" t="s">
        <v>774</v>
      </c>
      <c r="D158" s="107">
        <v>13</v>
      </c>
      <c r="E158" s="107"/>
      <c r="F158" s="107" t="s">
        <v>4</v>
      </c>
      <c r="G158" s="24"/>
      <c r="H158" s="24"/>
    </row>
    <row r="159" spans="1:86">
      <c r="A159" s="113">
        <v>4</v>
      </c>
      <c r="B159" s="107" t="s">
        <v>771</v>
      </c>
      <c r="C159" s="116" t="s">
        <v>775</v>
      </c>
      <c r="D159" s="107">
        <v>4</v>
      </c>
      <c r="E159" s="107"/>
      <c r="F159" s="107" t="s">
        <v>4</v>
      </c>
      <c r="G159" s="24"/>
      <c r="H159" s="24"/>
    </row>
    <row r="160" spans="1:86">
      <c r="A160" s="113">
        <v>5</v>
      </c>
      <c r="B160" s="107" t="s">
        <v>771</v>
      </c>
      <c r="C160" s="116" t="s">
        <v>776</v>
      </c>
      <c r="D160" s="107">
        <v>2</v>
      </c>
      <c r="E160" s="107" t="s">
        <v>623</v>
      </c>
      <c r="F160" s="107" t="s">
        <v>4</v>
      </c>
      <c r="G160" s="24"/>
      <c r="H160" s="24"/>
    </row>
    <row r="161" spans="1:8">
      <c r="A161" s="113">
        <v>6</v>
      </c>
      <c r="B161" s="107" t="s">
        <v>771</v>
      </c>
      <c r="C161" s="116" t="s">
        <v>777</v>
      </c>
      <c r="D161" s="107">
        <v>1</v>
      </c>
      <c r="E161" s="107"/>
      <c r="F161" s="107" t="s">
        <v>4</v>
      </c>
      <c r="G161" s="24"/>
      <c r="H161" s="24"/>
    </row>
    <row r="162" spans="1:8">
      <c r="A162" s="113">
        <v>7</v>
      </c>
      <c r="B162" s="107" t="s">
        <v>771</v>
      </c>
      <c r="C162" s="116" t="s">
        <v>778</v>
      </c>
      <c r="D162" s="107">
        <v>13</v>
      </c>
      <c r="E162" s="107"/>
      <c r="F162" s="107" t="s">
        <v>4</v>
      </c>
      <c r="G162" s="24"/>
      <c r="H162" s="24"/>
    </row>
    <row r="163" spans="1:8">
      <c r="A163" s="113">
        <v>8</v>
      </c>
      <c r="B163" s="107" t="s">
        <v>771</v>
      </c>
      <c r="C163" s="116" t="s">
        <v>779</v>
      </c>
      <c r="D163" s="107">
        <v>3</v>
      </c>
      <c r="E163" s="107"/>
      <c r="F163" s="107" t="s">
        <v>4</v>
      </c>
      <c r="G163" s="24"/>
      <c r="H163" s="24"/>
    </row>
    <row r="164" spans="1:8">
      <c r="A164" s="113">
        <v>9</v>
      </c>
      <c r="B164" s="107" t="s">
        <v>771</v>
      </c>
      <c r="C164" s="116" t="s">
        <v>780</v>
      </c>
      <c r="D164" s="107">
        <v>3</v>
      </c>
      <c r="E164" s="107"/>
      <c r="F164" s="107" t="s">
        <v>4</v>
      </c>
      <c r="G164" s="24"/>
      <c r="H164" s="24"/>
    </row>
    <row r="165" spans="1:8">
      <c r="A165" s="113">
        <v>10</v>
      </c>
      <c r="B165" s="107" t="s">
        <v>771</v>
      </c>
      <c r="C165" s="116" t="s">
        <v>781</v>
      </c>
      <c r="D165" s="107">
        <v>1</v>
      </c>
      <c r="E165" s="107"/>
      <c r="F165" s="107" t="s">
        <v>4</v>
      </c>
      <c r="G165" s="24"/>
      <c r="H165" s="24"/>
    </row>
    <row r="166" spans="1:8">
      <c r="A166" s="113">
        <v>11</v>
      </c>
      <c r="B166" s="107" t="s">
        <v>771</v>
      </c>
      <c r="C166" s="116" t="s">
        <v>782</v>
      </c>
      <c r="D166" s="107">
        <v>1</v>
      </c>
      <c r="E166" s="107"/>
      <c r="F166" s="107" t="s">
        <v>4</v>
      </c>
      <c r="G166" s="24"/>
      <c r="H166" s="24"/>
    </row>
    <row r="167" spans="1:8" s="109" customFormat="1">
      <c r="A167" s="109" t="s">
        <v>783</v>
      </c>
      <c r="D167" s="115"/>
    </row>
    <row r="168" spans="1:8" ht="15.75">
      <c r="A168" s="122">
        <v>1</v>
      </c>
      <c r="B168" s="121" t="s">
        <v>784</v>
      </c>
      <c r="C168" s="120" t="s">
        <v>785</v>
      </c>
      <c r="D168" s="121">
        <v>1</v>
      </c>
      <c r="E168" s="24"/>
      <c r="F168" s="107" t="s">
        <v>4</v>
      </c>
      <c r="G168" s="24"/>
      <c r="H168" s="24"/>
    </row>
    <row r="169" spans="1:8" ht="15.75">
      <c r="A169" s="122">
        <v>2</v>
      </c>
      <c r="B169" s="121" t="s">
        <v>784</v>
      </c>
      <c r="C169" s="120" t="s">
        <v>786</v>
      </c>
      <c r="D169" s="121">
        <v>1</v>
      </c>
      <c r="E169" s="24"/>
      <c r="F169" s="107" t="s">
        <v>4</v>
      </c>
      <c r="G169" s="24"/>
      <c r="H169" s="24"/>
    </row>
    <row r="170" spans="1:8">
      <c r="A170" s="123"/>
    </row>
  </sheetData>
  <mergeCells count="13">
    <mergeCell ref="B125:B126"/>
    <mergeCell ref="B123:B124"/>
    <mergeCell ref="B97:B102"/>
    <mergeCell ref="B104:B110"/>
    <mergeCell ref="B111:B112"/>
    <mergeCell ref="B113:B115"/>
    <mergeCell ref="B116:B119"/>
    <mergeCell ref="B84:B96"/>
    <mergeCell ref="B3:B4"/>
    <mergeCell ref="B5:B6"/>
    <mergeCell ref="B7:B9"/>
    <mergeCell ref="B11:B25"/>
    <mergeCell ref="B75:B83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B29"/>
  <sheetViews>
    <sheetView tabSelected="1" zoomScaleNormal="100" workbookViewId="0">
      <selection activeCell="C26" sqref="C26"/>
    </sheetView>
  </sheetViews>
  <sheetFormatPr defaultColWidth="8.85546875" defaultRowHeight="15"/>
  <cols>
    <col min="1" max="1" width="8.85546875" style="166" customWidth="1"/>
    <col min="2" max="2" width="54.5703125" style="166" customWidth="1"/>
    <col min="3" max="16384" width="8.85546875" style="166"/>
  </cols>
  <sheetData>
    <row r="2" spans="2:2">
      <c r="B2" s="166" t="s">
        <v>787</v>
      </c>
    </row>
    <row r="3" spans="2:2">
      <c r="B3" s="166" t="s">
        <v>798</v>
      </c>
    </row>
    <row r="4" spans="2:2">
      <c r="B4" s="166" t="s">
        <v>799</v>
      </c>
    </row>
    <row r="5" spans="2:2">
      <c r="B5" s="166" t="s">
        <v>788</v>
      </c>
    </row>
    <row r="6" spans="2:2">
      <c r="B6" s="166" t="s">
        <v>789</v>
      </c>
    </row>
    <row r="7" spans="2:2">
      <c r="B7" s="166" t="s">
        <v>790</v>
      </c>
    </row>
    <row r="8" spans="2:2">
      <c r="B8" s="166" t="s">
        <v>791</v>
      </c>
    </row>
    <row r="9" spans="2:2">
      <c r="B9" s="166" t="s">
        <v>792</v>
      </c>
    </row>
    <row r="10" spans="2:2">
      <c r="B10" s="166" t="s">
        <v>793</v>
      </c>
    </row>
    <row r="11" spans="2:2">
      <c r="B11" s="166" t="s">
        <v>794</v>
      </c>
    </row>
    <row r="12" spans="2:2">
      <c r="B12" s="166" t="s">
        <v>795</v>
      </c>
    </row>
    <row r="13" spans="2:2">
      <c r="B13" s="166" t="s">
        <v>796</v>
      </c>
    </row>
    <row r="14" spans="2:2">
      <c r="B14" s="166" t="s">
        <v>797</v>
      </c>
    </row>
    <row r="17" spans="2:2">
      <c r="B17" s="166" t="s">
        <v>800</v>
      </c>
    </row>
    <row r="18" spans="2:2">
      <c r="B18" s="166" t="s">
        <v>801</v>
      </c>
    </row>
    <row r="19" spans="2:2">
      <c r="B19" s="166" t="s">
        <v>802</v>
      </c>
    </row>
    <row r="20" spans="2:2">
      <c r="B20" s="166" t="s">
        <v>803</v>
      </c>
    </row>
    <row r="21" spans="2:2">
      <c r="B21" s="166" t="s">
        <v>804</v>
      </c>
    </row>
    <row r="22" spans="2:2">
      <c r="B22" s="166" t="s">
        <v>805</v>
      </c>
    </row>
    <row r="23" spans="2:2">
      <c r="B23" s="166" t="s">
        <v>806</v>
      </c>
    </row>
    <row r="24" spans="2:2">
      <c r="B24" s="166" t="s">
        <v>795</v>
      </c>
    </row>
    <row r="25" spans="2:2">
      <c r="B25" s="166" t="s">
        <v>807</v>
      </c>
    </row>
    <row r="26" spans="2:2">
      <c r="B26" s="166" t="s">
        <v>808</v>
      </c>
    </row>
    <row r="28" spans="2:2">
      <c r="B28" s="166" t="s">
        <v>809</v>
      </c>
    </row>
    <row r="29" spans="2:2">
      <c r="B29" s="166" t="s">
        <v>810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HOME</vt:lpstr>
      <vt:lpstr>BASE DELL</vt:lpstr>
      <vt:lpstr>BASE HPE</vt:lpstr>
      <vt:lpstr>OPTION DELL</vt:lpstr>
      <vt:lpstr>OPTION HPE</vt:lpstr>
      <vt:lpstr>OPTION NGOÀI</vt:lpstr>
      <vt:lpstr>THIẾT BỊ KHÁC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HACUONG</dc:creator>
  <cp:keywords/>
  <dc:description/>
  <cp:lastModifiedBy>David Dai</cp:lastModifiedBy>
  <cp:revision/>
  <dcterms:created xsi:type="dcterms:W3CDTF">2022-03-19T14:52:16Z</dcterms:created>
  <dcterms:modified xsi:type="dcterms:W3CDTF">2025-11-29T15:11:50Z</dcterms:modified>
  <cp:category/>
  <cp:contentStatus/>
</cp:coreProperties>
</file>